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9b562ba83557449/Desktop/"/>
    </mc:Choice>
  </mc:AlternateContent>
  <xr:revisionPtr revIDLastSave="17999" documentId="13_ncr:1_{15E1F32B-64AE-47A3-A302-179323691F7C}" xr6:coauthVersionLast="47" xr6:coauthVersionMax="47" xr10:uidLastSave="{8AC62994-621B-4FA8-BD4E-188A2CA76231}"/>
  <bookViews>
    <workbookView xWindow="-108" yWindow="-108" windowWidth="23256" windowHeight="12456" tabRatio="389" activeTab="1" xr2:uid="{00000000-000D-0000-FFFF-FFFF00000000}"/>
  </bookViews>
  <sheets>
    <sheet name="CNPJ 2" sheetId="10" r:id="rId1"/>
    <sheet name="CNPJ" sheetId="17" r:id="rId2"/>
    <sheet name="ORÇAMENTO PARTICULAR (2)" sheetId="16" r:id="rId3"/>
    <sheet name="ORÇAMENTO PARTICULAR" sheetId="8" r:id="rId4"/>
    <sheet name="IDA VOLTA PF" sheetId="11" r:id="rId5"/>
    <sheet name="CNPJ IDA E VOLTA" sheetId="4" r:id="rId6"/>
    <sheet name="Planilha2" sheetId="18" r:id="rId7"/>
  </sheets>
  <definedNames>
    <definedName name="_xlnm.Print_Area" localSheetId="1">CNPJ!$A$1:$I$61</definedName>
    <definedName name="_xlnm.Print_Area" localSheetId="0">'CNPJ 2'!$A$1:$I$61</definedName>
    <definedName name="_xlnm.Print_Area" localSheetId="5">'CNPJ IDA E VOLTA'!$A$1:$I$61</definedName>
    <definedName name="_xlnm.Print_Area" localSheetId="4">'IDA VOLTA PF'!$A$1:$I$61</definedName>
    <definedName name="_xlnm.Print_Area" localSheetId="3">'ORÇAMENTO PARTICULAR'!$A$1:$I$61</definedName>
    <definedName name="_xlnm.Print_Area" localSheetId="2">'ORÇAMENTO PARTICULAR (2)'!$B$1:$J$61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7" l="1"/>
  <c r="I35" i="16"/>
  <c r="H36" i="17"/>
  <c r="H35" i="17"/>
  <c r="D9" i="16"/>
  <c r="M22" i="17" l="1"/>
  <c r="E26" i="17" s="1"/>
  <c r="H35" i="8"/>
  <c r="I36" i="16" l="1"/>
  <c r="H35" i="10" l="1"/>
  <c r="L18" i="10"/>
  <c r="L19" i="10"/>
  <c r="M18" i="16"/>
  <c r="M3" i="17" l="1"/>
  <c r="C9" i="17"/>
  <c r="L18" i="16"/>
  <c r="N3" i="16"/>
  <c r="L12" i="16" s="1"/>
  <c r="H36" i="10"/>
  <c r="H36" i="8"/>
  <c r="N9" i="16" l="1"/>
  <c r="M5" i="17"/>
  <c r="N22" i="16"/>
  <c r="L14" i="16" s="1"/>
  <c r="N5" i="16"/>
  <c r="P2" i="16" s="1"/>
  <c r="K18" i="8"/>
  <c r="K12" i="17" l="1"/>
  <c r="K13" i="17"/>
  <c r="E28" i="17" s="1"/>
  <c r="F26" i="16"/>
  <c r="F27" i="16"/>
  <c r="O2" i="17"/>
  <c r="O3" i="17" s="1"/>
  <c r="O4" i="17" s="1"/>
  <c r="O5" i="17" s="1"/>
  <c r="K14" i="17"/>
  <c r="L13" i="16"/>
  <c r="P3" i="16"/>
  <c r="P4" i="16" s="1"/>
  <c r="P5" i="16" s="1"/>
  <c r="M22" i="8"/>
  <c r="E26" i="8" s="1"/>
  <c r="F29" i="16" l="1"/>
  <c r="F38" i="16" s="1"/>
  <c r="N34" i="16" s="1"/>
  <c r="O34" i="16" s="1"/>
  <c r="E38" i="17"/>
  <c r="M34" i="17" s="1"/>
  <c r="N34" i="17" s="1"/>
  <c r="M9" i="17"/>
  <c r="E27" i="17"/>
  <c r="E29" i="17" s="1"/>
  <c r="N33" i="16" l="1"/>
  <c r="O33" i="16" s="1"/>
  <c r="M33" i="17"/>
  <c r="N33" i="17" s="1"/>
  <c r="M3" i="8" l="1"/>
  <c r="M5" i="8" l="1"/>
  <c r="K12" i="8"/>
  <c r="H36" i="4"/>
  <c r="H35" i="4"/>
  <c r="M3" i="11" l="1"/>
  <c r="K12" i="11" s="1"/>
  <c r="H36" i="11"/>
  <c r="H35" i="11"/>
  <c r="C9" i="11"/>
  <c r="E27" i="11" l="1"/>
  <c r="M22" i="11"/>
  <c r="M9" i="11"/>
  <c r="M5" i="11"/>
  <c r="M22" i="4"/>
  <c r="M22" i="10"/>
  <c r="M3" i="10"/>
  <c r="K12" i="10" s="1"/>
  <c r="C9" i="10"/>
  <c r="K14" i="11" l="1"/>
  <c r="K13" i="11"/>
  <c r="E38" i="11"/>
  <c r="M34" i="11" s="1"/>
  <c r="N34" i="11" s="1"/>
  <c r="E26" i="4"/>
  <c r="K14" i="4"/>
  <c r="K13" i="4"/>
  <c r="E28" i="4" s="1"/>
  <c r="E26" i="11"/>
  <c r="E29" i="11" s="1"/>
  <c r="O2" i="11"/>
  <c r="O3" i="11" s="1"/>
  <c r="M5" i="10"/>
  <c r="K13" i="10" s="1"/>
  <c r="C9" i="8"/>
  <c r="K14" i="10" l="1"/>
  <c r="O2" i="8"/>
  <c r="O3" i="8" s="1"/>
  <c r="M9" i="8"/>
  <c r="M33" i="11"/>
  <c r="N33" i="11" s="1"/>
  <c r="O4" i="11"/>
  <c r="O5" i="11" s="1"/>
  <c r="M9" i="10"/>
  <c r="O2" i="10"/>
  <c r="O3" i="10" s="1"/>
  <c r="K14" i="8"/>
  <c r="M3" i="4"/>
  <c r="M34" i="10" l="1"/>
  <c r="N34" i="10" s="1"/>
  <c r="K12" i="4"/>
  <c r="E38" i="4" s="1"/>
  <c r="E27" i="8"/>
  <c r="E29" i="8" s="1"/>
  <c r="E38" i="8" s="1"/>
  <c r="O4" i="10"/>
  <c r="O5" i="10" s="1"/>
  <c r="K13" i="8"/>
  <c r="O4" i="8"/>
  <c r="O5" i="8" s="1"/>
  <c r="M5" i="4"/>
  <c r="M34" i="8" l="1"/>
  <c r="N34" i="8" s="1"/>
  <c r="M33" i="8"/>
  <c r="E27" i="4"/>
  <c r="C9" i="4"/>
  <c r="N33" i="8" l="1"/>
  <c r="O2" i="4"/>
  <c r="O3" i="4" s="1"/>
  <c r="E29" i="4" l="1"/>
  <c r="M33" i="4" s="1"/>
  <c r="N33" i="4" s="1"/>
  <c r="M34" i="4"/>
  <c r="M9" i="4"/>
  <c r="O4" i="4"/>
  <c r="O5" i="4" s="1"/>
  <c r="N34" i="4" l="1"/>
  <c r="M33" i="10" l="1"/>
  <c r="N33" i="10" s="1"/>
</calcChain>
</file>

<file path=xl/sharedStrings.xml><?xml version="1.0" encoding="utf-8"?>
<sst xmlns="http://schemas.openxmlformats.org/spreadsheetml/2006/main" count="5489" uniqueCount="262">
  <si>
    <t>Seguro</t>
  </si>
  <si>
    <t> TABELA OFICIAL DE TAXAS DO SEGURO OBRIGATÓRIO DE  RCTR-C </t>
  </si>
  <si>
    <t>Item</t>
  </si>
  <si>
    <t>Taxa pura</t>
  </si>
  <si>
    <t>Custo de Seguro</t>
  </si>
  <si>
    <t>Desc 50%</t>
  </si>
  <si>
    <t>PARA  → </t>
  </si>
  <si>
    <t>AC </t>
  </si>
  <si>
    <t>AL </t>
  </si>
  <si>
    <t>AP </t>
  </si>
  <si>
    <t>AM </t>
  </si>
  <si>
    <t>BA </t>
  </si>
  <si>
    <t>CE </t>
  </si>
  <si>
    <t>DF </t>
  </si>
  <si>
    <t>ES </t>
  </si>
  <si>
    <t>GO </t>
  </si>
  <si>
    <t>MA </t>
  </si>
  <si>
    <t>MT </t>
  </si>
  <si>
    <t>MS </t>
  </si>
  <si>
    <t>MG </t>
  </si>
  <si>
    <t>PA </t>
  </si>
  <si>
    <t>PB </t>
  </si>
  <si>
    <t>PR </t>
  </si>
  <si>
    <t>PE </t>
  </si>
  <si>
    <t>PI </t>
  </si>
  <si>
    <t>RJ </t>
  </si>
  <si>
    <t>RN </t>
  </si>
  <si>
    <t>RS </t>
  </si>
  <si>
    <t>RO </t>
  </si>
  <si>
    <t>RR </t>
  </si>
  <si>
    <t>SC </t>
  </si>
  <si>
    <t>SP </t>
  </si>
  <si>
    <t>SE </t>
  </si>
  <si>
    <t>TO </t>
  </si>
  <si>
    <t>ORÇAMENTO</t>
  </si>
  <si>
    <t>Total liq</t>
  </si>
  <si>
    <t>DE  ↓ </t>
  </si>
  <si>
    <t>IOF</t>
  </si>
  <si>
    <t> Acre </t>
  </si>
  <si>
    <t>0,04 </t>
  </si>
  <si>
    <t>0,30 </t>
  </si>
  <si>
    <t>0,26 </t>
  </si>
  <si>
    <t>0,09 </t>
  </si>
  <si>
    <t>0,28 </t>
  </si>
  <si>
    <t>0,18 </t>
  </si>
  <si>
    <t>0,12 </t>
  </si>
  <si>
    <t>0,16 </t>
  </si>
  <si>
    <t>0,22 </t>
  </si>
  <si>
    <t>0,24 </t>
  </si>
  <si>
    <t>0,05 </t>
  </si>
  <si>
    <t>0,14 </t>
  </si>
  <si>
    <t>0,23 </t>
  </si>
  <si>
    <t>Total</t>
  </si>
  <si>
    <t> Alagoas </t>
  </si>
  <si>
    <t>0,06 </t>
  </si>
  <si>
    <t>0,07 </t>
  </si>
  <si>
    <t>0,11 </t>
  </si>
  <si>
    <t>0,10 </t>
  </si>
  <si>
    <t>0,20 </t>
  </si>
  <si>
    <t>0,08 </t>
  </si>
  <si>
    <t>0,32 </t>
  </si>
  <si>
    <t xml:space="preserve">ITEM 1 </t>
  </si>
  <si>
    <t/>
  </si>
  <si>
    <t> Amapá </t>
  </si>
  <si>
    <t>0,13 </t>
  </si>
  <si>
    <t>CARRETA 1</t>
  </si>
  <si>
    <t> Amazonas </t>
  </si>
  <si>
    <t>CARRETA 2</t>
  </si>
  <si>
    <t>TOTAL DE DESPESAS</t>
  </si>
  <si>
    <t> Bahia </t>
  </si>
  <si>
    <r>
      <t>São Bernardo do Campo,</t>
    </r>
    <r>
      <rPr>
        <b/>
        <sz val="10"/>
        <color theme="1"/>
        <rFont val="Arial"/>
        <family val="2"/>
      </rPr>
      <t xml:space="preserve"> </t>
    </r>
  </si>
  <si>
    <t>CARRETA 3</t>
  </si>
  <si>
    <t> Ceará </t>
  </si>
  <si>
    <t>COLETA</t>
  </si>
  <si>
    <t> Distrito Federal </t>
  </si>
  <si>
    <t>0,03 </t>
  </si>
  <si>
    <t>ENTREGA</t>
  </si>
  <si>
    <t> Espirito Santo </t>
  </si>
  <si>
    <r>
      <rPr>
        <b/>
        <sz val="10"/>
        <color theme="1"/>
        <rFont val="Arial"/>
        <family val="2"/>
      </rPr>
      <t>Referente à:</t>
    </r>
    <r>
      <rPr>
        <sz val="10"/>
        <color theme="1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TRANSPORTE DE VEICULOS</t>
    </r>
  </si>
  <si>
    <t>SEGURO</t>
  </si>
  <si>
    <t> Goiás </t>
  </si>
  <si>
    <t xml:space="preserve"> </t>
  </si>
  <si>
    <t>CTE 1</t>
  </si>
  <si>
    <t> Maranhao </t>
  </si>
  <si>
    <t>1 - Dados do Veículo a ser transportado:</t>
  </si>
  <si>
    <t>CTE 2</t>
  </si>
  <si>
    <t> Mato Grosso </t>
  </si>
  <si>
    <t> Mato Grosso do Sul </t>
  </si>
  <si>
    <t>VOLKAWMarca / Modelo</t>
  </si>
  <si>
    <t>Valor da fipe</t>
  </si>
  <si>
    <t>Observações</t>
  </si>
  <si>
    <t> Minas Gerais </t>
  </si>
  <si>
    <t> 0,10 </t>
  </si>
  <si>
    <t>FUNCIONA</t>
  </si>
  <si>
    <t> Pará </t>
  </si>
  <si>
    <t> 0,14 </t>
  </si>
  <si>
    <t> Paraíba </t>
  </si>
  <si>
    <t> 0,22 </t>
  </si>
  <si>
    <t xml:space="preserve">1 - TRANSPORTE BASE A BASE: </t>
  </si>
  <si>
    <t> Paraná </t>
  </si>
  <si>
    <t> 0,11 </t>
  </si>
  <si>
    <t>(Nesta modalidade o veiculo deve ser entregue a transportadora nos locais de carregamento e descarregamento)</t>
  </si>
  <si>
    <t>LUCRO</t>
  </si>
  <si>
    <t> Pernambuco </t>
  </si>
  <si>
    <t>Origem</t>
  </si>
  <si>
    <t>Destino</t>
  </si>
  <si>
    <t>Prazo após Embarque</t>
  </si>
  <si>
    <t>ITEM 1:</t>
  </si>
  <si>
    <t>VALOR FRETE S/  SEGURO E CTE</t>
  </si>
  <si>
    <t> Piauí </t>
  </si>
  <si>
    <t> 0,18 </t>
  </si>
  <si>
    <t> Rio de Janeiro </t>
  </si>
  <si>
    <t>0,02 </t>
  </si>
  <si>
    <t> R.Grande do Norte </t>
  </si>
  <si>
    <t> 0,24 </t>
  </si>
  <si>
    <t> R.Grande do Sul </t>
  </si>
  <si>
    <t> 0,16 </t>
  </si>
  <si>
    <t>Valor do Frete:</t>
  </si>
  <si>
    <t> Rondônia </t>
  </si>
  <si>
    <t> 0,09 </t>
  </si>
  <si>
    <t>Valor do Seguro:</t>
  </si>
  <si>
    <t> Roraima </t>
  </si>
  <si>
    <t>Valor do Imposto:</t>
  </si>
  <si>
    <t> Santa Catarina </t>
  </si>
  <si>
    <t> 0,12 </t>
  </si>
  <si>
    <t>Total base a base:</t>
  </si>
  <si>
    <t> Sao Paulo </t>
  </si>
  <si>
    <t> Sergipe </t>
  </si>
  <si>
    <t> Tocantis      </t>
  </si>
  <si>
    <t xml:space="preserve">2 - TRANSPORTE PORTA A PORTA                                                                                                                           </t>
  </si>
  <si>
    <t>CARTÃO DE CREDITO 3X</t>
  </si>
  <si>
    <t>(Nesta modalidade enviamos um caminhão guincho plataforma para coleta e entrega nos endereços desejados)</t>
  </si>
  <si>
    <t>TAXA BASE A BASE</t>
  </si>
  <si>
    <t>Descrição</t>
  </si>
  <si>
    <t>Local:</t>
  </si>
  <si>
    <t>Valor</t>
  </si>
  <si>
    <t>TAXA PORTA A PORTA</t>
  </si>
  <si>
    <t>Total com coleta e entrega:</t>
  </si>
  <si>
    <t>Formas de pagamento:</t>
  </si>
  <si>
    <t>Transferencia, Pix ou Deposito em conta 50% na contratação e 50% no destino para liberação.</t>
  </si>
  <si>
    <t>5 - Requisitos para realização do Transporte:</t>
  </si>
  <si>
    <t xml:space="preserve"> - Os valores acima são válidos somente para veículos em perfeito estado de funcionamento e conservação;</t>
  </si>
  <si>
    <t xml:space="preserve"> - Para veículos modificados, sinistrados e sem funcionamento serão cobrados valores adicionais;</t>
  </si>
  <si>
    <t xml:space="preserve"> - A OBS Transportes não se responsabiliza por pertences pessoais transportados junto ao veículo;</t>
  </si>
  <si>
    <t>* Todos os veículos transportados pela OBS Transportes são assegurados pela ALLIANZ SEGUROS*</t>
  </si>
  <si>
    <t>"Caso possua orçamento menor nos envie para analise e possivel desconto"</t>
  </si>
  <si>
    <t>Atenciosamente</t>
  </si>
  <si>
    <t>EQUIPE OBS TRANSPORTES</t>
  </si>
  <si>
    <t>Fale Conosco: (11) 4352-4103 / (11) 4352-1524</t>
  </si>
  <si>
    <t>E-mail: atendimento@obstransportes.com.br</t>
  </si>
  <si>
    <t>End.: Av Padre Anchieta, 176 - sala 13 - Bairro Jordanópolis - São Bernardo do Campo- SP</t>
  </si>
  <si>
    <t>PROPOSTA COMERCIAL</t>
  </si>
  <si>
    <t>Faturamento até 15dias após aprovação de ficha cadastral</t>
  </si>
  <si>
    <t>ENTREGA FACIL ACESSO</t>
  </si>
  <si>
    <t>CNPJ: 08.165.584/0001-67</t>
  </si>
  <si>
    <t>PRAZO DE VALIDADE DA PROPOSTA 10 DIAS</t>
  </si>
  <si>
    <t>SÃO BERNARDO DO CAMPO SP</t>
  </si>
  <si>
    <t>COLETA FACIL ACESSO</t>
  </si>
  <si>
    <t>Faturamento até 15 dias após aprovação de ficha cadastral</t>
  </si>
  <si>
    <t>COLETA NO ENDEREÇO</t>
  </si>
  <si>
    <t>ENTREGA NO ENDEREÇO</t>
  </si>
  <si>
    <t>Cartão de credito em até 12X (com acréscimo) via link de pagamento online.</t>
  </si>
  <si>
    <t>(Nesta modalidade enviamos um caminhão guincho plataforma para coleta e entrega nos endereços (confirmar end))</t>
  </si>
  <si>
    <t>(Nesta modalidade enviamos um caminhão guincho plataforma para coleta e entrega nos endereços desejados (conf end))</t>
  </si>
  <si>
    <t>RIO DE JANEIRO RJ</t>
  </si>
  <si>
    <t>2 DIAS</t>
  </si>
  <si>
    <t xml:space="preserve">byd Tan awd 2024/2025 </t>
  </si>
  <si>
    <t xml:space="preserve">RIO DEJANEIRO RJ </t>
  </si>
  <si>
    <t>SÃO PAULO/SP -  RIO DE AJNEIRO/RJ</t>
  </si>
  <si>
    <t>RIO DE JANEIRO/RJ - SÃO PAULO/SP</t>
  </si>
  <si>
    <t>(Nesta modalidade enviamos um caminhão guincho plataforma para coleta e entrega nos endereços desejados, conf end)</t>
  </si>
  <si>
    <t xml:space="preserve">COLETA VIA GUINCHO </t>
  </si>
  <si>
    <t>ENTREGA VIA GUINCHO</t>
  </si>
  <si>
    <t>MA</t>
  </si>
  <si>
    <t>Marca / Modelo</t>
  </si>
  <si>
    <t xml:space="preserve"> FUNCIONA</t>
  </si>
  <si>
    <t>5 A 7 DIAS</t>
  </si>
  <si>
    <t>3 A 5 DIAS</t>
  </si>
  <si>
    <t>PLACA</t>
  </si>
  <si>
    <t>MODELO</t>
  </si>
  <si>
    <t>ANO</t>
  </si>
  <si>
    <t>FIPE</t>
  </si>
  <si>
    <t>ESTADO</t>
  </si>
  <si>
    <t>GRUPOS</t>
  </si>
  <si>
    <t>ENDEREÇO DE RETIRADA</t>
  </si>
  <si>
    <t>ENDEREÇO DE ENTREGA</t>
  </si>
  <si>
    <t>RKL5F02</t>
  </si>
  <si>
    <t>HONDA BROS 160CC</t>
  </si>
  <si>
    <t>2021/2022</t>
  </si>
  <si>
    <t>AM</t>
  </si>
  <si>
    <t>Rua Acre, 127 Cj. Vieralves - Nossa Sra. das Gracas, Manaus - AM, 69053-130</t>
  </si>
  <si>
    <t>R. Frei Caneca, 71 - Consolação, São Paulo - SP, 01307-001</t>
  </si>
  <si>
    <t>RKL5F03</t>
  </si>
  <si>
    <t>EMK5407</t>
  </si>
  <si>
    <t>2019/2019</t>
  </si>
  <si>
    <t>PHG1306</t>
  </si>
  <si>
    <t>2015/2015</t>
  </si>
  <si>
    <t>PHO8683</t>
  </si>
  <si>
    <t>2018/2018</t>
  </si>
  <si>
    <t>PHQ5J05</t>
  </si>
  <si>
    <t>PHR1I94</t>
  </si>
  <si>
    <t>HONDA XRE 190CC</t>
  </si>
  <si>
    <t>PHZ1I74</t>
  </si>
  <si>
    <t>PHZ1I54</t>
  </si>
  <si>
    <t>2021/2021</t>
  </si>
  <si>
    <t>PHN0698</t>
  </si>
  <si>
    <t>2017/2017</t>
  </si>
  <si>
    <t>KXP9540</t>
  </si>
  <si>
    <t>MG</t>
  </si>
  <si>
    <t>Av. Wilson Tavares Ribeiro, 1651 - Chacaras Reunidas Santa Terezinha, Contagem - MG, 32183-680</t>
  </si>
  <si>
    <t>FYR5519</t>
  </si>
  <si>
    <t>RJ</t>
  </si>
  <si>
    <t>Av. república do Chile 330, centro Rio de Janeiro, CEP:20031-170 (Edifício Ventura)</t>
  </si>
  <si>
    <t>KZK9518</t>
  </si>
  <si>
    <t>RJY5F59</t>
  </si>
  <si>
    <t>2022/2022</t>
  </si>
  <si>
    <t>BA</t>
  </si>
  <si>
    <t>R. Quaresmeiras Vermelhas, 72 - Jardim das Margaridas, Salvador - BA, 41502-305</t>
  </si>
  <si>
    <t>QYQ4F13</t>
  </si>
  <si>
    <t>2020/2021</t>
  </si>
  <si>
    <t>QTY3B09</t>
  </si>
  <si>
    <t>2020/2020</t>
  </si>
  <si>
    <t xml:space="preserve">VALORES DE FRETE </t>
  </si>
  <si>
    <t xml:space="preserve">PRAZO </t>
  </si>
  <si>
    <t>20 A 25 DIAS</t>
  </si>
  <si>
    <t>ENTREGA 200,00 CAGA - VAGA 600,00 - COLETA 250,00 CADA</t>
  </si>
  <si>
    <t>COLETA 250,00 CADA - VAGA 350 - ENTREGA 200,00</t>
  </si>
  <si>
    <t>COLETA 300,00 - VAGA 350,00 - ENTREGA  250,00</t>
  </si>
  <si>
    <t>COLETA 200,00 - VAGA 1 600,00 - VAGA 2 700,00 - TRANFERENCIA - 200,00 - ENTREGA 200,00</t>
  </si>
  <si>
    <t>SMART MOVEE SEARA</t>
  </si>
  <si>
    <t>LWM Corporate Center - (São Paulo), Rua George Ohm, 230 - Cidade Monções, São Paulo - SP, 04576-020</t>
  </si>
  <si>
    <t>INCLUSO</t>
  </si>
  <si>
    <t>1 a 2 DIAS</t>
  </si>
  <si>
    <t>1 a 2  DIAS</t>
  </si>
  <si>
    <t>R. da Bahia, 2244 - Lourdes, Belo Horizonte - MG, 30160-019</t>
  </si>
  <si>
    <t xml:space="preserve">ORÇAMENTO </t>
  </si>
  <si>
    <t>LOCAL:</t>
  </si>
  <si>
    <t>INDISPONIVEL</t>
  </si>
  <si>
    <t xml:space="preserve">Xre 300 </t>
  </si>
  <si>
    <t>NATAL RN</t>
  </si>
  <si>
    <t>ICONHE ES (RETIRAR DIRETO COM MOTORIST, PONTO DE ENCONTRO)</t>
  </si>
  <si>
    <t>15 A 17 DIAS</t>
  </si>
  <si>
    <t>NATAL RN (CONF END)</t>
  </si>
  <si>
    <t>FUNCIONA / N FUNCIONA</t>
  </si>
  <si>
    <t>Porto de Laguna (Av. Getúlio Vargas,
728 - Magalhães, Laguna - SC, 88790-
000)</t>
  </si>
  <si>
    <t>Porto de Santos (Avenida Governador
Mário Covas Júnior (Av. Perimetral), 426 -
Estuário, Santos - SP, 11020-300)</t>
  </si>
  <si>
    <t>5 DIAS</t>
  </si>
  <si>
    <t>FRETE</t>
  </si>
  <si>
    <t>VALOR DO IMPOSTO</t>
  </si>
  <si>
    <t>TUBARÃO SC</t>
  </si>
  <si>
    <t>Rua Servidão, 247 - Jd São Lourenço - Bragança Paulista/SP</t>
  </si>
  <si>
    <t xml:space="preserve"> A </t>
  </si>
  <si>
    <t>FORTALEZA CE</t>
  </si>
  <si>
    <t>SERRA ES</t>
  </si>
  <si>
    <t>VITORIA ES (CONF END)</t>
  </si>
  <si>
    <t>20 DIAS</t>
  </si>
  <si>
    <t>Ford Ka 2015</t>
  </si>
  <si>
    <t>CAUCAIA CE (CONF END)</t>
  </si>
  <si>
    <t>LAVADORA B70 - LAVDORA BRAVA</t>
  </si>
  <si>
    <t>Rod. Pres. Dutra, 25551 - Jardim Alvorada, Queimados - RJ, 26377-180</t>
  </si>
  <si>
    <t>Rod. Washington Luiz, 7749 - Gramacho, Duque de Caxias - RJ, 25265-008</t>
  </si>
  <si>
    <t>1 A 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</si>
</sst>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 &quot;#,##0.00;[Red]&quot;R$ &quot;#,##0.00"/>
    <numFmt numFmtId="165" formatCode="[$-F800]dddd\,\ mmmm\ dd\,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i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color theme="10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sz val="9"/>
      <color rgb="FF212529"/>
      <name val="Segoe UI"/>
      <family val="2"/>
    </font>
    <font>
      <b/>
      <sz val="10"/>
      <color rgb="FF000000"/>
      <name val="Arial"/>
      <family val="2"/>
    </font>
    <font>
      <b/>
      <sz val="9"/>
      <color rgb="FF000000"/>
      <name val="Montserrat"/>
    </font>
    <font>
      <sz val="10"/>
      <color rgb="FF000000"/>
      <name val="Arial"/>
      <family val="2"/>
    </font>
    <font>
      <sz val="12"/>
      <color theme="1"/>
      <name val="Aptos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01">
    <xf numFmtId="0" fontId="0" fillId="0" borderId="0" xfId="0"/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3" borderId="0" xfId="0" applyFont="1" applyFill="1" applyAlignment="1" applyProtection="1">
      <alignment horizontal="left"/>
      <protection locked="0"/>
    </xf>
    <xf numFmtId="0" fontId="3" fillId="3" borderId="0" xfId="0" applyFont="1" applyFill="1" applyProtection="1">
      <protection locked="0"/>
    </xf>
    <xf numFmtId="10" fontId="3" fillId="2" borderId="1" xfId="0" applyNumberFormat="1" applyFont="1" applyFill="1" applyBorder="1" applyAlignment="1" applyProtection="1">
      <alignment horizontal="center" vertical="center"/>
      <protection hidden="1"/>
    </xf>
    <xf numFmtId="10" fontId="3" fillId="2" borderId="2" xfId="0" applyNumberFormat="1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164" fontId="3" fillId="3" borderId="0" xfId="0" applyNumberFormat="1" applyFont="1" applyFill="1" applyProtection="1"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5" borderId="0" xfId="0" applyFont="1" applyFill="1" applyAlignment="1" applyProtection="1">
      <alignment vertical="center"/>
      <protection hidden="1"/>
    </xf>
    <xf numFmtId="0" fontId="4" fillId="5" borderId="0" xfId="0" applyFont="1" applyFill="1" applyAlignment="1" applyProtection="1">
      <alignment vertical="center"/>
      <protection hidden="1"/>
    </xf>
    <xf numFmtId="0" fontId="3" fillId="6" borderId="0" xfId="0" applyFont="1" applyFill="1" applyProtection="1">
      <protection hidden="1"/>
    </xf>
    <xf numFmtId="0" fontId="3" fillId="3" borderId="0" xfId="0" applyFont="1" applyFill="1" applyProtection="1">
      <protection hidden="1"/>
    </xf>
    <xf numFmtId="0" fontId="4" fillId="7" borderId="0" xfId="0" applyFont="1" applyFill="1" applyProtection="1">
      <protection hidden="1"/>
    </xf>
    <xf numFmtId="10" fontId="3" fillId="2" borderId="0" xfId="0" applyNumberFormat="1" applyFont="1" applyFill="1" applyAlignment="1" applyProtection="1">
      <alignment horizontal="center"/>
      <protection locked="0"/>
    </xf>
    <xf numFmtId="44" fontId="3" fillId="2" borderId="9" xfId="1" applyFont="1" applyFill="1" applyBorder="1" applyAlignment="1" applyProtection="1">
      <alignment horizontal="center" vertical="center"/>
      <protection hidden="1"/>
    </xf>
    <xf numFmtId="10" fontId="3" fillId="2" borderId="0" xfId="0" applyNumberFormat="1" applyFont="1" applyFill="1" applyProtection="1">
      <protection locked="0"/>
    </xf>
    <xf numFmtId="0" fontId="3" fillId="2" borderId="0" xfId="0" applyFont="1" applyFill="1" applyProtection="1">
      <protection locked="0"/>
    </xf>
    <xf numFmtId="0" fontId="3" fillId="3" borderId="0" xfId="0" quotePrefix="1" applyFont="1" applyFill="1" applyProtection="1"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44" fontId="3" fillId="3" borderId="0" xfId="0" applyNumberFormat="1" applyFont="1" applyFill="1" applyProtection="1">
      <protection locked="0"/>
    </xf>
    <xf numFmtId="44" fontId="3" fillId="2" borderId="0" xfId="1" applyFont="1" applyFill="1" applyBorder="1" applyAlignment="1" applyProtection="1">
      <alignment horizontal="center"/>
      <protection locked="0"/>
    </xf>
    <xf numFmtId="44" fontId="3" fillId="3" borderId="0" xfId="0" applyNumberFormat="1" applyFont="1" applyFill="1" applyAlignment="1" applyProtection="1">
      <alignment horizontal="left"/>
      <protection locked="0"/>
    </xf>
    <xf numFmtId="44" fontId="3" fillId="2" borderId="0" xfId="1" applyFont="1" applyFill="1" applyBorder="1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5" fillId="0" borderId="0" xfId="0" applyFont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10" fontId="3" fillId="3" borderId="0" xfId="2" applyNumberFormat="1" applyFont="1" applyFill="1" applyBorder="1" applyAlignment="1" applyProtection="1">
      <alignment horizontal="center"/>
      <protection locked="0"/>
    </xf>
    <xf numFmtId="44" fontId="3" fillId="3" borderId="0" xfId="1" applyFont="1" applyFill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44" fontId="3" fillId="8" borderId="0" xfId="1" applyFont="1" applyFill="1" applyBorder="1" applyProtection="1">
      <protection hidden="1"/>
    </xf>
    <xf numFmtId="44" fontId="3" fillId="3" borderId="0" xfId="1" applyFont="1" applyFill="1" applyBorder="1" applyAlignment="1" applyProtection="1">
      <alignment horizontal="left"/>
      <protection locked="0"/>
    </xf>
    <xf numFmtId="44" fontId="3" fillId="3" borderId="0" xfId="1" applyFont="1" applyFill="1" applyBorder="1" applyAlignment="1" applyProtection="1">
      <alignment horizontal="center" vertical="center"/>
      <protection locked="0"/>
    </xf>
    <xf numFmtId="0" fontId="3" fillId="3" borderId="19" xfId="0" applyFont="1" applyFill="1" applyBorder="1" applyAlignment="1" applyProtection="1">
      <alignment horizontal="center"/>
      <protection hidden="1"/>
    </xf>
    <xf numFmtId="44" fontId="3" fillId="3" borderId="20" xfId="1" applyFont="1" applyFill="1" applyBorder="1" applyAlignment="1" applyProtection="1">
      <alignment horizontal="left"/>
      <protection locked="0"/>
    </xf>
    <xf numFmtId="0" fontId="4" fillId="6" borderId="0" xfId="0" applyFont="1" applyFill="1" applyProtection="1">
      <protection hidden="1"/>
    </xf>
    <xf numFmtId="0" fontId="6" fillId="0" borderId="4" xfId="0" quotePrefix="1" applyFont="1" applyBorder="1" applyAlignment="1" applyProtection="1">
      <alignment horizontal="center"/>
      <protection locked="0"/>
    </xf>
    <xf numFmtId="0" fontId="6" fillId="0" borderId="6" xfId="0" quotePrefix="1" applyFont="1" applyBorder="1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44" fontId="2" fillId="0" borderId="0" xfId="0" applyNumberFormat="1" applyFont="1" applyProtection="1">
      <protection locked="0"/>
    </xf>
    <xf numFmtId="0" fontId="5" fillId="0" borderId="15" xfId="0" applyFont="1" applyBorder="1" applyAlignment="1" applyProtection="1">
      <alignment horizontal="left"/>
      <protection hidden="1"/>
    </xf>
    <xf numFmtId="0" fontId="5" fillId="0" borderId="22" xfId="0" applyFont="1" applyBorder="1" applyAlignment="1" applyProtection="1">
      <alignment horizontal="left"/>
      <protection hidden="1"/>
    </xf>
    <xf numFmtId="0" fontId="2" fillId="3" borderId="0" xfId="0" applyFont="1" applyFill="1" applyProtection="1">
      <protection locked="0"/>
    </xf>
    <xf numFmtId="0" fontId="2" fillId="0" borderId="0" xfId="0" quotePrefix="1" applyFont="1" applyProtection="1">
      <protection locked="0"/>
    </xf>
    <xf numFmtId="0" fontId="9" fillId="0" borderId="0" xfId="0" applyFont="1" applyProtection="1">
      <protection locked="0"/>
    </xf>
    <xf numFmtId="0" fontId="3" fillId="0" borderId="0" xfId="3" applyFont="1" applyProtection="1">
      <protection locked="0"/>
    </xf>
    <xf numFmtId="0" fontId="11" fillId="0" borderId="0" xfId="3" applyFont="1" applyProtection="1">
      <protection locked="0"/>
    </xf>
    <xf numFmtId="0" fontId="3" fillId="7" borderId="0" xfId="0" applyFont="1" applyFill="1" applyProtection="1">
      <protection hidden="1"/>
    </xf>
    <xf numFmtId="0" fontId="5" fillId="2" borderId="4" xfId="0" applyFont="1" applyFill="1" applyBorder="1" applyProtection="1">
      <protection hidden="1"/>
    </xf>
    <xf numFmtId="44" fontId="2" fillId="2" borderId="5" xfId="0" applyNumberFormat="1" applyFont="1" applyFill="1" applyBorder="1" applyProtection="1">
      <protection locked="0"/>
    </xf>
    <xf numFmtId="0" fontId="5" fillId="2" borderId="15" xfId="0" applyFont="1" applyFill="1" applyBorder="1" applyProtection="1">
      <protection hidden="1"/>
    </xf>
    <xf numFmtId="44" fontId="2" fillId="2" borderId="16" xfId="1" applyFont="1" applyFill="1" applyBorder="1" applyProtection="1">
      <protection locked="0"/>
    </xf>
    <xf numFmtId="44" fontId="2" fillId="2" borderId="16" xfId="0" applyNumberFormat="1" applyFont="1" applyFill="1" applyBorder="1" applyProtection="1">
      <protection locked="0"/>
    </xf>
    <xf numFmtId="44" fontId="2" fillId="2" borderId="16" xfId="1" applyFont="1" applyFill="1" applyBorder="1" applyAlignment="1" applyProtection="1">
      <protection locked="0"/>
    </xf>
    <xf numFmtId="0" fontId="5" fillId="2" borderId="6" xfId="0" applyFont="1" applyFill="1" applyBorder="1" applyProtection="1">
      <protection hidden="1"/>
    </xf>
    <xf numFmtId="44" fontId="2" fillId="2" borderId="8" xfId="0" applyNumberFormat="1" applyFont="1" applyFill="1" applyBorder="1" applyAlignment="1" applyProtection="1">
      <alignment horizontal="center"/>
      <protection hidden="1"/>
    </xf>
    <xf numFmtId="0" fontId="5" fillId="2" borderId="17" xfId="0" applyFont="1" applyFill="1" applyBorder="1" applyProtection="1">
      <protection hidden="1"/>
    </xf>
    <xf numFmtId="0" fontId="5" fillId="0" borderId="0" xfId="0" applyFont="1" applyProtection="1">
      <protection hidden="1"/>
    </xf>
    <xf numFmtId="44" fontId="7" fillId="3" borderId="0" xfId="0" applyNumberFormat="1" applyFont="1" applyFill="1" applyProtection="1">
      <protection hidden="1"/>
    </xf>
    <xf numFmtId="10" fontId="3" fillId="3" borderId="0" xfId="0" applyNumberFormat="1" applyFont="1" applyFill="1" applyProtection="1">
      <protection hidden="1"/>
    </xf>
    <xf numFmtId="44" fontId="2" fillId="0" borderId="0" xfId="0" applyNumberFormat="1" applyFont="1" applyProtection="1">
      <protection hidden="1"/>
    </xf>
    <xf numFmtId="10" fontId="3" fillId="3" borderId="0" xfId="0" applyNumberFormat="1" applyFont="1" applyFill="1" applyProtection="1">
      <protection locked="0"/>
    </xf>
    <xf numFmtId="44" fontId="3" fillId="8" borderId="3" xfId="1" applyFont="1" applyFill="1" applyBorder="1" applyProtection="1">
      <protection hidden="1"/>
    </xf>
    <xf numFmtId="44" fontId="3" fillId="3" borderId="0" xfId="0" applyNumberFormat="1" applyFont="1" applyFill="1" applyAlignment="1" applyProtection="1">
      <alignment horizontal="center"/>
      <protection hidden="1"/>
    </xf>
    <xf numFmtId="44" fontId="3" fillId="3" borderId="0" xfId="0" applyNumberFormat="1" applyFont="1" applyFill="1" applyAlignment="1" applyProtection="1">
      <alignment horizontal="center"/>
      <protection locked="0"/>
    </xf>
    <xf numFmtId="44" fontId="5" fillId="0" borderId="0" xfId="1" applyFont="1" applyBorder="1" applyProtection="1">
      <protection locked="0"/>
    </xf>
    <xf numFmtId="44" fontId="2" fillId="0" borderId="0" xfId="1" applyFont="1" applyProtection="1">
      <protection locked="0"/>
    </xf>
    <xf numFmtId="44" fontId="2" fillId="2" borderId="18" xfId="0" applyNumberFormat="1" applyFont="1" applyFill="1" applyBorder="1" applyProtection="1">
      <protection hidden="1"/>
    </xf>
    <xf numFmtId="0" fontId="5" fillId="0" borderId="29" xfId="0" applyFont="1" applyBorder="1" applyProtection="1">
      <protection hidden="1"/>
    </xf>
    <xf numFmtId="44" fontId="2" fillId="0" borderId="31" xfId="0" applyNumberFormat="1" applyFont="1" applyBorder="1" applyProtection="1">
      <protection locked="0"/>
    </xf>
    <xf numFmtId="44" fontId="2" fillId="2" borderId="5" xfId="0" applyNumberFormat="1" applyFont="1" applyFill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21" xfId="0" applyFont="1" applyBorder="1" applyProtection="1">
      <protection hidden="1"/>
    </xf>
    <xf numFmtId="44" fontId="5" fillId="3" borderId="0" xfId="1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left"/>
      <protection hidden="1"/>
    </xf>
    <xf numFmtId="0" fontId="7" fillId="0" borderId="0" xfId="0" applyFont="1" applyProtection="1">
      <protection locked="0"/>
    </xf>
    <xf numFmtId="0" fontId="6" fillId="0" borderId="0" xfId="0" quotePrefix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0" borderId="17" xfId="0" applyFont="1" applyBorder="1" applyAlignment="1" applyProtection="1">
      <alignment horizontal="left"/>
      <protection hidden="1"/>
    </xf>
    <xf numFmtId="0" fontId="5" fillId="0" borderId="35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5" fillId="0" borderId="34" xfId="0" applyFont="1" applyBorder="1" applyAlignment="1" applyProtection="1">
      <alignment horizontal="left"/>
      <protection hidden="1"/>
    </xf>
    <xf numFmtId="0" fontId="6" fillId="0" borderId="48" xfId="0" quotePrefix="1" applyFont="1" applyBorder="1" applyAlignment="1" applyProtection="1">
      <alignment horizontal="center"/>
      <protection locked="0"/>
    </xf>
    <xf numFmtId="0" fontId="3" fillId="0" borderId="1" xfId="0" quotePrefix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" fillId="3" borderId="0" xfId="0" applyFont="1" applyFill="1" applyProtection="1">
      <protection hidden="1"/>
    </xf>
    <xf numFmtId="10" fontId="3" fillId="3" borderId="0" xfId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16" fillId="0" borderId="0" xfId="0" applyFont="1"/>
    <xf numFmtId="0" fontId="2" fillId="0" borderId="22" xfId="0" applyFont="1" applyBorder="1" applyAlignment="1">
      <alignment horizontal="center" vertical="center" wrapText="1"/>
    </xf>
    <xf numFmtId="8" fontId="2" fillId="0" borderId="22" xfId="0" applyNumberFormat="1" applyFont="1" applyBorder="1" applyAlignment="1">
      <alignment horizontal="center" vertical="center" wrapText="1"/>
    </xf>
    <xf numFmtId="0" fontId="19" fillId="12" borderId="22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8" fontId="2" fillId="0" borderId="7" xfId="0" applyNumberFormat="1" applyFont="1" applyBorder="1" applyAlignment="1">
      <alignment horizontal="center" vertical="center" wrapText="1"/>
    </xf>
    <xf numFmtId="0" fontId="18" fillId="10" borderId="48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8" fontId="2" fillId="0" borderId="49" xfId="0" applyNumberFormat="1" applyFont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44" fontId="17" fillId="9" borderId="2" xfId="1" applyFont="1" applyFill="1" applyBorder="1" applyAlignment="1">
      <alignment horizontal="center" vertical="center" wrapText="1"/>
    </xf>
    <xf numFmtId="44" fontId="0" fillId="0" borderId="49" xfId="1" applyFont="1" applyBorder="1" applyAlignment="1">
      <alignment horizontal="center" vertical="center"/>
    </xf>
    <xf numFmtId="44" fontId="0" fillId="0" borderId="22" xfId="1" applyFont="1" applyBorder="1" applyAlignment="1">
      <alignment vertical="center"/>
    </xf>
    <xf numFmtId="44" fontId="0" fillId="0" borderId="7" xfId="1" applyFont="1" applyBorder="1" applyAlignment="1">
      <alignment vertical="center"/>
    </xf>
    <xf numFmtId="44" fontId="0" fillId="0" borderId="0" xfId="1" applyFont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12" fillId="2" borderId="24" xfId="1" applyFont="1" applyFill="1" applyBorder="1" applyAlignment="1" applyProtection="1">
      <alignment vertical="center" wrapText="1"/>
      <protection locked="0"/>
    </xf>
    <xf numFmtId="44" fontId="12" fillId="2" borderId="25" xfId="1" applyFont="1" applyFill="1" applyBorder="1" applyAlignment="1" applyProtection="1">
      <alignment vertical="center" wrapText="1"/>
      <protection locked="0"/>
    </xf>
    <xf numFmtId="44" fontId="12" fillId="2" borderId="28" xfId="1" applyFont="1" applyFill="1" applyBorder="1" applyAlignment="1" applyProtection="1">
      <alignment vertical="center" wrapText="1"/>
      <protection locked="0"/>
    </xf>
    <xf numFmtId="44" fontId="2" fillId="2" borderId="23" xfId="1" applyFont="1" applyFill="1" applyBorder="1" applyAlignment="1" applyProtection="1">
      <alignment vertical="center" wrapText="1"/>
      <protection locked="0"/>
    </xf>
    <xf numFmtId="0" fontId="20" fillId="0" borderId="0" xfId="0" applyFont="1"/>
    <xf numFmtId="44" fontId="2" fillId="2" borderId="0" xfId="1" applyFont="1" applyFill="1" applyProtection="1">
      <protection locked="0"/>
    </xf>
    <xf numFmtId="0" fontId="3" fillId="0" borderId="12" xfId="0" quotePrefix="1" applyFont="1" applyBorder="1" applyAlignment="1" applyProtection="1">
      <alignment horizontal="center"/>
      <protection locked="0"/>
    </xf>
    <xf numFmtId="0" fontId="7" fillId="0" borderId="53" xfId="0" applyFont="1" applyBorder="1" applyProtection="1">
      <protection locked="0"/>
    </xf>
    <xf numFmtId="0" fontId="7" fillId="0" borderId="54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5" fillId="3" borderId="0" xfId="0" applyFont="1" applyFill="1" applyProtection="1">
      <protection hidden="1"/>
    </xf>
    <xf numFmtId="0" fontId="13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54" xfId="0" applyFont="1" applyBorder="1" applyAlignment="1" applyProtection="1">
      <alignment horizontal="center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3" fillId="4" borderId="0" xfId="0" applyFont="1" applyFill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29" xfId="0" applyFont="1" applyFill="1" applyBorder="1" applyAlignment="1" applyProtection="1">
      <alignment horizontal="center" vertical="center"/>
      <protection hidden="1"/>
    </xf>
    <xf numFmtId="10" fontId="3" fillId="2" borderId="32" xfId="0" applyNumberFormat="1" applyFont="1" applyFill="1" applyBorder="1" applyAlignment="1" applyProtection="1">
      <alignment horizontal="center" vertical="center"/>
      <protection locked="0"/>
    </xf>
    <xf numFmtId="10" fontId="3" fillId="2" borderId="33" xfId="0" applyNumberFormat="1" applyFont="1" applyFill="1" applyBorder="1" applyAlignment="1" applyProtection="1">
      <alignment horizontal="center" vertical="center"/>
      <protection locked="0"/>
    </xf>
    <xf numFmtId="44" fontId="3" fillId="2" borderId="11" xfId="1" applyFont="1" applyFill="1" applyBorder="1" applyAlignment="1" applyProtection="1">
      <alignment horizontal="center" vertical="center"/>
      <protection hidden="1"/>
    </xf>
    <xf numFmtId="44" fontId="3" fillId="2" borderId="31" xfId="1" applyFont="1" applyFill="1" applyBorder="1" applyAlignment="1" applyProtection="1">
      <alignment horizontal="center" vertical="center"/>
      <protection hidden="1"/>
    </xf>
    <xf numFmtId="0" fontId="5" fillId="0" borderId="23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53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5" fillId="2" borderId="52" xfId="0" applyFont="1" applyFill="1" applyBorder="1" applyAlignment="1" applyProtection="1">
      <alignment horizontal="center"/>
      <protection hidden="1"/>
    </xf>
    <xf numFmtId="0" fontId="5" fillId="2" borderId="20" xfId="0" applyFont="1" applyFill="1" applyBorder="1" applyAlignment="1" applyProtection="1">
      <alignment horizontal="center"/>
      <protection hidden="1"/>
    </xf>
    <xf numFmtId="165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54" xfId="0" applyFont="1" applyBorder="1" applyAlignment="1" applyProtection="1">
      <alignment horizontal="center"/>
      <protection locked="0"/>
    </xf>
    <xf numFmtId="44" fontId="12" fillId="2" borderId="23" xfId="1" applyFont="1" applyFill="1" applyBorder="1" applyAlignment="1" applyProtection="1">
      <alignment horizontal="center" vertical="center" wrapText="1"/>
      <protection locked="0"/>
    </xf>
    <xf numFmtId="44" fontId="12" fillId="2" borderId="24" xfId="1" applyFont="1" applyFill="1" applyBorder="1" applyAlignment="1" applyProtection="1">
      <alignment horizontal="center" vertical="center" wrapText="1"/>
      <protection locked="0"/>
    </xf>
    <xf numFmtId="44" fontId="12" fillId="2" borderId="25" xfId="1" applyFont="1" applyFill="1" applyBorder="1" applyAlignment="1" applyProtection="1">
      <alignment horizontal="center" vertical="center" wrapText="1"/>
      <protection locked="0"/>
    </xf>
    <xf numFmtId="44" fontId="12" fillId="2" borderId="28" xfId="1" applyFont="1" applyFill="1" applyBorder="1" applyAlignment="1" applyProtection="1">
      <alignment horizontal="center" vertical="center" wrapText="1"/>
      <protection locked="0"/>
    </xf>
    <xf numFmtId="0" fontId="5" fillId="0" borderId="36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4" fontId="14" fillId="0" borderId="13" xfId="0" applyNumberFormat="1" applyFont="1" applyBorder="1" applyAlignment="1" applyProtection="1">
      <alignment horizontal="center" vertical="center" wrapText="1"/>
      <protection locked="0"/>
    </xf>
    <xf numFmtId="4" fontId="14" fillId="0" borderId="14" xfId="0" applyNumberFormat="1" applyFont="1" applyBorder="1" applyAlignment="1" applyProtection="1">
      <alignment horizontal="center" vertical="center" wrapText="1"/>
      <protection locked="0"/>
    </xf>
    <xf numFmtId="4" fontId="14" fillId="0" borderId="10" xfId="0" applyNumberFormat="1" applyFont="1" applyBorder="1" applyAlignment="1" applyProtection="1">
      <alignment horizontal="center" vertical="center" wrapText="1"/>
      <protection locked="0"/>
    </xf>
    <xf numFmtId="4" fontId="14" fillId="0" borderId="27" xfId="0" applyNumberFormat="1" applyFont="1" applyBorder="1" applyAlignment="1" applyProtection="1">
      <alignment horizontal="center" vertical="center" wrapText="1"/>
      <protection locked="0"/>
    </xf>
    <xf numFmtId="4" fontId="14" fillId="0" borderId="30" xfId="0" applyNumberFormat="1" applyFont="1" applyBorder="1" applyAlignment="1" applyProtection="1">
      <alignment horizontal="center" vertical="center" wrapText="1"/>
      <protection locked="0"/>
    </xf>
    <xf numFmtId="4" fontId="14" fillId="0" borderId="26" xfId="0" applyNumberFormat="1" applyFont="1" applyBorder="1" applyAlignment="1" applyProtection="1">
      <alignment horizontal="center" vertical="center" wrapText="1"/>
      <protection locked="0"/>
    </xf>
    <xf numFmtId="8" fontId="6" fillId="0" borderId="13" xfId="1" applyNumberFormat="1" applyFont="1" applyBorder="1" applyAlignment="1" applyProtection="1">
      <alignment horizontal="center" vertical="center"/>
      <protection locked="0"/>
    </xf>
    <xf numFmtId="8" fontId="6" fillId="0" borderId="10" xfId="1" applyNumberFormat="1" applyFont="1" applyBorder="1" applyAlignment="1" applyProtection="1">
      <alignment horizontal="center" vertical="center"/>
      <protection locked="0"/>
    </xf>
    <xf numFmtId="8" fontId="6" fillId="0" borderId="27" xfId="1" applyNumberFormat="1" applyFont="1" applyBorder="1" applyAlignment="1" applyProtection="1">
      <alignment horizontal="center" vertical="center"/>
      <protection locked="0"/>
    </xf>
    <xf numFmtId="8" fontId="6" fillId="0" borderId="26" xfId="1" applyNumberFormat="1" applyFont="1" applyBorder="1" applyAlignment="1" applyProtection="1">
      <alignment horizontal="center" vertical="center"/>
      <protection locked="0"/>
    </xf>
    <xf numFmtId="44" fontId="6" fillId="0" borderId="13" xfId="1" applyFont="1" applyBorder="1" applyAlignment="1" applyProtection="1">
      <alignment horizontal="center" vertical="center" wrapText="1"/>
      <protection locked="0"/>
    </xf>
    <xf numFmtId="44" fontId="6" fillId="0" borderId="24" xfId="1" applyFont="1" applyBorder="1" applyAlignment="1" applyProtection="1">
      <alignment horizontal="center" vertical="center" wrapText="1"/>
      <protection locked="0"/>
    </xf>
    <xf numFmtId="44" fontId="6" fillId="0" borderId="27" xfId="1" applyFont="1" applyBorder="1" applyAlignment="1" applyProtection="1">
      <alignment horizontal="center" vertical="center" wrapText="1"/>
      <protection locked="0"/>
    </xf>
    <xf numFmtId="44" fontId="6" fillId="0" borderId="28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10" fontId="3" fillId="3" borderId="2" xfId="0" applyNumberFormat="1" applyFont="1" applyFill="1" applyBorder="1" applyAlignment="1" applyProtection="1">
      <alignment horizontal="center"/>
      <protection hidden="1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18" fontId="14" fillId="0" borderId="13" xfId="1" applyNumberFormat="1" applyFont="1" applyBorder="1" applyAlignment="1" applyProtection="1">
      <alignment horizontal="center" vertical="center"/>
      <protection locked="0"/>
    </xf>
    <xf numFmtId="18" fontId="14" fillId="0" borderId="24" xfId="1" applyNumberFormat="1" applyFont="1" applyBorder="1" applyAlignment="1" applyProtection="1">
      <alignment horizontal="center" vertical="center"/>
      <protection locked="0"/>
    </xf>
    <xf numFmtId="18" fontId="14" fillId="0" borderId="27" xfId="1" applyNumberFormat="1" applyFont="1" applyBorder="1" applyAlignment="1" applyProtection="1">
      <alignment horizontal="center" vertical="center"/>
      <protection locked="0"/>
    </xf>
    <xf numFmtId="18" fontId="14" fillId="0" borderId="28" xfId="1" applyNumberFormat="1" applyFont="1" applyBorder="1" applyAlignment="1" applyProtection="1">
      <alignment horizontal="center" vertical="center"/>
      <protection locked="0"/>
    </xf>
    <xf numFmtId="10" fontId="3" fillId="3" borderId="0" xfId="0" applyNumberFormat="1" applyFont="1" applyFill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 vertical="center" wrapText="1"/>
      <protection locked="0"/>
    </xf>
    <xf numFmtId="44" fontId="6" fillId="0" borderId="34" xfId="1" applyFont="1" applyBorder="1" applyAlignment="1" applyProtection="1">
      <alignment horizontal="center" vertical="center"/>
      <protection locked="0"/>
    </xf>
    <xf numFmtId="44" fontId="6" fillId="0" borderId="5" xfId="1" applyFont="1" applyBorder="1" applyAlignment="1" applyProtection="1">
      <alignment horizontal="center" vertical="center"/>
      <protection locked="0"/>
    </xf>
    <xf numFmtId="44" fontId="6" fillId="8" borderId="38" xfId="1" applyFont="1" applyFill="1" applyBorder="1" applyAlignment="1" applyProtection="1">
      <alignment horizontal="center"/>
      <protection hidden="1"/>
    </xf>
    <xf numFmtId="44" fontId="6" fillId="8" borderId="39" xfId="1" applyFont="1" applyFill="1" applyBorder="1" applyAlignment="1" applyProtection="1">
      <alignment horizontal="center"/>
      <protection hidden="1"/>
    </xf>
    <xf numFmtId="44" fontId="6" fillId="8" borderId="43" xfId="1" applyFont="1" applyFill="1" applyBorder="1" applyAlignment="1" applyProtection="1">
      <alignment horizontal="center"/>
      <protection hidden="1"/>
    </xf>
    <xf numFmtId="44" fontId="6" fillId="8" borderId="44" xfId="1" applyFont="1" applyFill="1" applyBorder="1" applyAlignment="1" applyProtection="1">
      <alignment horizontal="center"/>
      <protection hidden="1"/>
    </xf>
    <xf numFmtId="44" fontId="6" fillId="8" borderId="45" xfId="1" applyFont="1" applyFill="1" applyBorder="1" applyAlignment="1" applyProtection="1">
      <alignment horizontal="center"/>
      <protection hidden="1"/>
    </xf>
    <xf numFmtId="44" fontId="6" fillId="8" borderId="46" xfId="1" applyFont="1" applyFill="1" applyBorder="1" applyAlignment="1" applyProtection="1">
      <alignment horizontal="center"/>
      <protection hidden="1"/>
    </xf>
    <xf numFmtId="44" fontId="6" fillId="8" borderId="40" xfId="1" applyFont="1" applyFill="1" applyBorder="1" applyAlignment="1" applyProtection="1">
      <alignment horizontal="center"/>
      <protection hidden="1"/>
    </xf>
    <xf numFmtId="44" fontId="6" fillId="8" borderId="41" xfId="1" applyFont="1" applyFill="1" applyBorder="1" applyAlignment="1" applyProtection="1">
      <alignment horizontal="center"/>
      <protection hidden="1"/>
    </xf>
    <xf numFmtId="44" fontId="6" fillId="8" borderId="42" xfId="1" applyFont="1" applyFill="1" applyBorder="1" applyAlignment="1" applyProtection="1">
      <alignment horizontal="center"/>
      <protection hidden="1"/>
    </xf>
    <xf numFmtId="0" fontId="4" fillId="8" borderId="23" xfId="0" applyFont="1" applyFill="1" applyBorder="1" applyAlignment="1" applyProtection="1">
      <alignment horizontal="center" vertical="center"/>
      <protection hidden="1"/>
    </xf>
    <xf numFmtId="0" fontId="4" fillId="8" borderId="10" xfId="0" applyFont="1" applyFill="1" applyBorder="1" applyAlignment="1" applyProtection="1">
      <alignment horizontal="center" vertical="center"/>
      <protection hidden="1"/>
    </xf>
    <xf numFmtId="0" fontId="4" fillId="8" borderId="25" xfId="0" applyFont="1" applyFill="1" applyBorder="1" applyAlignment="1" applyProtection="1">
      <alignment horizontal="center" vertical="center"/>
      <protection hidden="1"/>
    </xf>
    <xf numFmtId="0" fontId="4" fillId="8" borderId="26" xfId="0" applyFont="1" applyFill="1" applyBorder="1" applyAlignment="1" applyProtection="1">
      <alignment horizontal="center" vertical="center"/>
      <protection hidden="1"/>
    </xf>
    <xf numFmtId="44" fontId="6" fillId="8" borderId="13" xfId="1" applyFont="1" applyFill="1" applyBorder="1" applyAlignment="1" applyProtection="1">
      <alignment horizontal="center" vertical="center"/>
      <protection hidden="1"/>
    </xf>
    <xf numFmtId="44" fontId="6" fillId="8" borderId="14" xfId="1" applyFont="1" applyFill="1" applyBorder="1" applyAlignment="1" applyProtection="1">
      <alignment horizontal="center" vertical="center"/>
      <protection hidden="1"/>
    </xf>
    <xf numFmtId="44" fontId="6" fillId="8" borderId="24" xfId="1" applyFont="1" applyFill="1" applyBorder="1" applyAlignment="1" applyProtection="1">
      <alignment horizontal="center" vertical="center"/>
      <protection hidden="1"/>
    </xf>
    <xf numFmtId="44" fontId="6" fillId="8" borderId="27" xfId="1" applyFont="1" applyFill="1" applyBorder="1" applyAlignment="1" applyProtection="1">
      <alignment horizontal="center" vertical="center"/>
      <protection hidden="1"/>
    </xf>
    <xf numFmtId="44" fontId="6" fillId="8" borderId="30" xfId="1" applyFont="1" applyFill="1" applyBorder="1" applyAlignment="1" applyProtection="1">
      <alignment horizontal="center" vertical="center"/>
      <protection hidden="1"/>
    </xf>
    <xf numFmtId="44" fontId="6" fillId="8" borderId="28" xfId="1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5" fillId="0" borderId="24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center" vertical="center"/>
      <protection locked="0"/>
    </xf>
    <xf numFmtId="44" fontId="6" fillId="0" borderId="8" xfId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 vertical="center"/>
      <protection hidden="1"/>
    </xf>
    <xf numFmtId="0" fontId="4" fillId="3" borderId="54" xfId="0" applyFont="1" applyFill="1" applyBorder="1" applyAlignment="1" applyProtection="1">
      <alignment horizontal="center" vertical="center"/>
      <protection hidden="1"/>
    </xf>
    <xf numFmtId="0" fontId="4" fillId="8" borderId="23" xfId="0" applyFont="1" applyFill="1" applyBorder="1" applyAlignment="1" applyProtection="1">
      <alignment horizontal="center" vertical="center" wrapText="1"/>
      <protection hidden="1"/>
    </xf>
    <xf numFmtId="0" fontId="4" fillId="8" borderId="10" xfId="0" applyFont="1" applyFill="1" applyBorder="1" applyAlignment="1" applyProtection="1">
      <alignment horizontal="center" vertical="center" wrapText="1"/>
      <protection hidden="1"/>
    </xf>
    <xf numFmtId="0" fontId="4" fillId="8" borderId="25" xfId="0" applyFont="1" applyFill="1" applyBorder="1" applyAlignment="1" applyProtection="1">
      <alignment horizontal="center" vertical="center" wrapText="1"/>
      <protection hidden="1"/>
    </xf>
    <xf numFmtId="0" fontId="4" fillId="8" borderId="26" xfId="0" applyFont="1" applyFill="1" applyBorder="1" applyAlignment="1" applyProtection="1">
      <alignment horizontal="center" vertical="center" wrapText="1"/>
      <protection hidden="1"/>
    </xf>
    <xf numFmtId="44" fontId="6" fillId="3" borderId="53" xfId="1" applyFont="1" applyFill="1" applyBorder="1" applyAlignment="1" applyProtection="1">
      <alignment horizontal="center" vertical="center"/>
      <protection hidden="1"/>
    </xf>
    <xf numFmtId="44" fontId="6" fillId="3" borderId="0" xfId="1" applyFont="1" applyFill="1" applyBorder="1" applyAlignment="1" applyProtection="1">
      <alignment horizontal="center" vertical="center"/>
      <protection hidden="1"/>
    </xf>
    <xf numFmtId="0" fontId="6" fillId="0" borderId="53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0" borderId="53" xfId="0" applyFont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hidden="1"/>
    </xf>
    <xf numFmtId="0" fontId="5" fillId="0" borderId="47" xfId="0" applyFont="1" applyBorder="1" applyAlignment="1" applyProtection="1">
      <alignment horizontal="center"/>
      <protection hidden="1"/>
    </xf>
    <xf numFmtId="0" fontId="4" fillId="3" borderId="53" xfId="0" applyFont="1" applyFill="1" applyBorder="1" applyAlignment="1" applyProtection="1">
      <alignment horizontal="center" vertical="center" wrapText="1"/>
      <protection hidden="1"/>
    </xf>
    <xf numFmtId="44" fontId="14" fillId="3" borderId="0" xfId="1" applyFont="1" applyFill="1" applyBorder="1" applyAlignment="1" applyProtection="1">
      <alignment horizontal="center" vertical="center"/>
      <protection hidden="1"/>
    </xf>
    <xf numFmtId="0" fontId="5" fillId="0" borderId="55" xfId="0" applyFont="1" applyBorder="1" applyAlignment="1" applyProtection="1">
      <alignment horizontal="center"/>
      <protection hidden="1"/>
    </xf>
    <xf numFmtId="0" fontId="5" fillId="0" borderId="51" xfId="0" applyFont="1" applyBorder="1" applyAlignment="1" applyProtection="1">
      <alignment horizontal="center"/>
      <protection hidden="1"/>
    </xf>
    <xf numFmtId="0" fontId="5" fillId="0" borderId="56" xfId="0" applyFont="1" applyBorder="1" applyAlignment="1" applyProtection="1">
      <alignment horizontal="center"/>
      <protection hidden="1"/>
    </xf>
    <xf numFmtId="0" fontId="5" fillId="0" borderId="57" xfId="0" applyFont="1" applyBorder="1" applyAlignment="1" applyProtection="1">
      <alignment horizontal="center"/>
      <protection hidden="1"/>
    </xf>
    <xf numFmtId="18" fontId="6" fillId="0" borderId="13" xfId="1" applyNumberFormat="1" applyFont="1" applyBorder="1" applyAlignment="1" applyProtection="1">
      <alignment horizontal="center" vertical="center"/>
      <protection locked="0"/>
    </xf>
    <xf numFmtId="18" fontId="6" fillId="0" borderId="24" xfId="1" applyNumberFormat="1" applyFont="1" applyBorder="1" applyAlignment="1" applyProtection="1">
      <alignment horizontal="center" vertical="center"/>
      <protection locked="0"/>
    </xf>
    <xf numFmtId="18" fontId="6" fillId="0" borderId="27" xfId="1" applyNumberFormat="1" applyFont="1" applyBorder="1" applyAlignment="1" applyProtection="1">
      <alignment horizontal="center" vertical="center"/>
      <protection locked="0"/>
    </xf>
    <xf numFmtId="18" fontId="6" fillId="0" borderId="28" xfId="1" applyNumberFormat="1" applyFont="1" applyBorder="1" applyAlignment="1" applyProtection="1">
      <alignment horizontal="center" vertical="center"/>
      <protection locked="0"/>
    </xf>
    <xf numFmtId="44" fontId="6" fillId="3" borderId="37" xfId="1" applyFont="1" applyFill="1" applyBorder="1" applyAlignment="1" applyProtection="1">
      <alignment horizontal="center"/>
      <protection hidden="1"/>
    </xf>
    <xf numFmtId="0" fontId="5" fillId="0" borderId="37" xfId="0" applyFont="1" applyBorder="1" applyAlignment="1" applyProtection="1">
      <alignment horizontal="center"/>
      <protection hidden="1"/>
    </xf>
    <xf numFmtId="44" fontId="6" fillId="0" borderId="38" xfId="1" applyFont="1" applyBorder="1" applyAlignment="1" applyProtection="1">
      <alignment horizontal="center" vertical="center"/>
      <protection locked="0"/>
    </xf>
    <xf numFmtId="44" fontId="6" fillId="0" borderId="43" xfId="1" applyFont="1" applyBorder="1" applyAlignment="1" applyProtection="1">
      <alignment horizontal="center" vertical="center"/>
      <protection locked="0"/>
    </xf>
    <xf numFmtId="44" fontId="6" fillId="3" borderId="14" xfId="1" applyFont="1" applyFill="1" applyBorder="1" applyAlignment="1" applyProtection="1">
      <alignment horizontal="center"/>
      <protection hidden="1"/>
    </xf>
    <xf numFmtId="44" fontId="6" fillId="0" borderId="40" xfId="1" applyFont="1" applyBorder="1" applyAlignment="1" applyProtection="1">
      <alignment horizontal="center" vertical="center"/>
      <protection locked="0"/>
    </xf>
    <xf numFmtId="44" fontId="6" fillId="0" borderId="42" xfId="1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6" fillId="0" borderId="41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 wrapText="1"/>
      <protection hidden="1"/>
    </xf>
    <xf numFmtId="44" fontId="6" fillId="3" borderId="0" xfId="1" applyFont="1" applyFill="1" applyBorder="1" applyAlignment="1" applyProtection="1">
      <alignment horizontal="center"/>
      <protection hidden="1"/>
    </xf>
    <xf numFmtId="0" fontId="5" fillId="0" borderId="30" xfId="0" applyFont="1" applyBorder="1" applyAlignment="1" applyProtection="1">
      <alignment horizontal="center"/>
      <protection hidden="1"/>
    </xf>
    <xf numFmtId="0" fontId="4" fillId="8" borderId="4" xfId="0" applyFont="1" applyFill="1" applyBorder="1" applyAlignment="1" applyProtection="1">
      <alignment horizontal="center" vertical="center" wrapText="1"/>
      <protection hidden="1"/>
    </xf>
    <xf numFmtId="0" fontId="4" fillId="8" borderId="34" xfId="0" applyFont="1" applyFill="1" applyBorder="1" applyAlignment="1" applyProtection="1">
      <alignment horizontal="center" vertical="center" wrapText="1"/>
      <protection hidden="1"/>
    </xf>
    <xf numFmtId="0" fontId="4" fillId="8" borderId="6" xfId="0" applyFont="1" applyFill="1" applyBorder="1" applyAlignment="1" applyProtection="1">
      <alignment horizontal="center" vertical="center" wrapText="1"/>
      <protection hidden="1"/>
    </xf>
    <xf numFmtId="0" fontId="4" fillId="8" borderId="7" xfId="0" applyFont="1" applyFill="1" applyBorder="1" applyAlignment="1" applyProtection="1">
      <alignment horizontal="center" vertical="center" wrapText="1"/>
      <protection hidden="1"/>
    </xf>
    <xf numFmtId="44" fontId="6" fillId="8" borderId="34" xfId="1" applyFont="1" applyFill="1" applyBorder="1" applyAlignment="1" applyProtection="1">
      <alignment horizontal="center" vertical="center"/>
      <protection hidden="1"/>
    </xf>
    <xf numFmtId="44" fontId="6" fillId="8" borderId="5" xfId="1" applyFont="1" applyFill="1" applyBorder="1" applyAlignment="1" applyProtection="1">
      <alignment horizontal="center" vertical="center"/>
      <protection hidden="1"/>
    </xf>
    <xf numFmtId="44" fontId="6" fillId="8" borderId="7" xfId="1" applyFont="1" applyFill="1" applyBorder="1" applyAlignment="1" applyProtection="1">
      <alignment horizontal="center" vertical="center"/>
      <protection hidden="1"/>
    </xf>
    <xf numFmtId="44" fontId="6" fillId="8" borderId="8" xfId="1" applyFont="1" applyFill="1" applyBorder="1" applyAlignment="1" applyProtection="1">
      <alignment horizontal="center" vertical="center"/>
      <protection hidden="1"/>
    </xf>
    <xf numFmtId="44" fontId="6" fillId="0" borderId="49" xfId="1" applyFont="1" applyBorder="1" applyAlignment="1" applyProtection="1">
      <alignment horizontal="center" vertical="center"/>
      <protection locked="0"/>
    </xf>
    <xf numFmtId="44" fontId="6" fillId="0" borderId="50" xfId="1" applyFont="1" applyBorder="1" applyAlignment="1" applyProtection="1">
      <alignment horizontal="center" vertical="center"/>
      <protection locked="0"/>
    </xf>
    <xf numFmtId="0" fontId="6" fillId="0" borderId="49" xfId="0" applyFont="1" applyBorder="1" applyAlignment="1" applyProtection="1">
      <alignment horizontal="center" vertical="center" wrapText="1"/>
      <protection locked="0"/>
    </xf>
    <xf numFmtId="44" fontId="6" fillId="8" borderId="34" xfId="1" applyFont="1" applyFill="1" applyBorder="1" applyAlignment="1" applyProtection="1">
      <alignment horizontal="center"/>
      <protection hidden="1"/>
    </xf>
    <xf numFmtId="44" fontId="6" fillId="8" borderId="5" xfId="1" applyFont="1" applyFill="1" applyBorder="1" applyAlignment="1" applyProtection="1">
      <alignment horizontal="center"/>
      <protection hidden="1"/>
    </xf>
    <xf numFmtId="44" fontId="6" fillId="8" borderId="22" xfId="1" applyFont="1" applyFill="1" applyBorder="1" applyAlignment="1" applyProtection="1">
      <alignment horizontal="center"/>
      <protection hidden="1"/>
    </xf>
    <xf numFmtId="44" fontId="6" fillId="8" borderId="16" xfId="1" applyFont="1" applyFill="1" applyBorder="1" applyAlignment="1" applyProtection="1">
      <alignment horizontal="center"/>
      <protection hidden="1"/>
    </xf>
    <xf numFmtId="44" fontId="6" fillId="8" borderId="35" xfId="1" applyFont="1" applyFill="1" applyBorder="1" applyAlignment="1" applyProtection="1">
      <alignment horizontal="center"/>
      <protection hidden="1"/>
    </xf>
    <xf numFmtId="44" fontId="6" fillId="8" borderId="18" xfId="1" applyFont="1" applyFill="1" applyBorder="1" applyAlignment="1" applyProtection="1">
      <alignment horizontal="center"/>
      <protection hidden="1"/>
    </xf>
    <xf numFmtId="0" fontId="4" fillId="8" borderId="4" xfId="0" applyFont="1" applyFill="1" applyBorder="1" applyAlignment="1" applyProtection="1">
      <alignment horizontal="center" vertical="center"/>
      <protection hidden="1"/>
    </xf>
    <xf numFmtId="0" fontId="4" fillId="8" borderId="34" xfId="0" applyFont="1" applyFill="1" applyBorder="1" applyAlignment="1" applyProtection="1">
      <alignment horizontal="center" vertical="center"/>
      <protection hidden="1"/>
    </xf>
    <xf numFmtId="0" fontId="4" fillId="8" borderId="6" xfId="0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center" vertical="center"/>
      <protection hidden="1"/>
    </xf>
    <xf numFmtId="44" fontId="6" fillId="0" borderId="24" xfId="1" applyFont="1" applyBorder="1" applyAlignment="1" applyProtection="1">
      <alignment horizontal="center" vertical="center"/>
      <protection locked="0"/>
    </xf>
    <xf numFmtId="44" fontId="6" fillId="0" borderId="27" xfId="1" applyFont="1" applyBorder="1" applyAlignment="1" applyProtection="1">
      <alignment horizontal="center" vertical="center"/>
      <protection locked="0"/>
    </xf>
    <xf numFmtId="44" fontId="6" fillId="0" borderId="28" xfId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1" xfId="0" applyFont="1" applyFill="1" applyBorder="1" applyAlignment="1" applyProtection="1">
      <alignment horizontal="center"/>
      <protection hidden="1"/>
    </xf>
    <xf numFmtId="0" fontId="19" fillId="11" borderId="49" xfId="0" applyFont="1" applyFill="1" applyBorder="1" applyAlignment="1">
      <alignment horizontal="center" vertical="center" wrapText="1"/>
    </xf>
    <xf numFmtId="0" fontId="19" fillId="11" borderId="22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4" borderId="22" xfId="0" applyFont="1" applyFill="1" applyBorder="1" applyAlignment="1">
      <alignment horizontal="center" vertical="center" wrapText="1"/>
    </xf>
    <xf numFmtId="0" fontId="19" fillId="14" borderId="7" xfId="0" applyFont="1" applyFill="1" applyBorder="1" applyAlignment="1">
      <alignment horizontal="center" vertical="center" wrapText="1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38486</xdr:rowOff>
    </xdr:from>
    <xdr:to>
      <xdr:col>8</xdr:col>
      <xdr:colOff>780135</xdr:colOff>
      <xdr:row>9</xdr:row>
      <xdr:rowOff>10540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DFB1DD-9EEF-46C3-B6F1-76B6CC76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075" y="38486"/>
          <a:ext cx="1740092" cy="1510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38486</xdr:rowOff>
    </xdr:from>
    <xdr:to>
      <xdr:col>8</xdr:col>
      <xdr:colOff>795847</xdr:colOff>
      <xdr:row>8</xdr:row>
      <xdr:rowOff>118686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2661E5-EFC5-468C-81EB-0874AEA1C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0" y="38486"/>
          <a:ext cx="1783907" cy="1564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0</xdr:row>
      <xdr:rowOff>72352</xdr:rowOff>
    </xdr:from>
    <xdr:to>
      <xdr:col>9</xdr:col>
      <xdr:colOff>719647</xdr:colOff>
      <xdr:row>9</xdr:row>
      <xdr:rowOff>51040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D4961E-681D-45EF-A8BA-4A52286C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6400" y="72352"/>
          <a:ext cx="1786447" cy="15788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38486</xdr:rowOff>
    </xdr:from>
    <xdr:to>
      <xdr:col>8</xdr:col>
      <xdr:colOff>795847</xdr:colOff>
      <xdr:row>9</xdr:row>
      <xdr:rowOff>34107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0067EC-0959-4939-B990-EBADD70A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075" y="38486"/>
          <a:ext cx="1740092" cy="15100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38486</xdr:rowOff>
    </xdr:from>
    <xdr:to>
      <xdr:col>8</xdr:col>
      <xdr:colOff>793942</xdr:colOff>
      <xdr:row>9</xdr:row>
      <xdr:rowOff>15057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B77E68-A2A4-495E-B84E-01DD6047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0" y="38486"/>
          <a:ext cx="1782002" cy="15462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0</xdr:row>
      <xdr:rowOff>38486</xdr:rowOff>
    </xdr:from>
    <xdr:to>
      <xdr:col>8</xdr:col>
      <xdr:colOff>793942</xdr:colOff>
      <xdr:row>9</xdr:row>
      <xdr:rowOff>15057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5424E9-61C9-41D8-B88D-072E7C99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1300" y="38486"/>
          <a:ext cx="1740092" cy="1510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EE75-05EC-4BC5-8CE2-06B0880E2ABA}">
  <sheetPr>
    <pageSetUpPr fitToPage="1"/>
  </sheetPr>
  <dimension ref="A1:AR68"/>
  <sheetViews>
    <sheetView showGridLines="0" view="pageBreakPreview" topLeftCell="A17" zoomScale="97" zoomScaleSheetLayoutView="100" workbookViewId="0">
      <selection activeCell="B17" sqref="B17:E18"/>
    </sheetView>
  </sheetViews>
  <sheetFormatPr defaultColWidth="11.6640625" defaultRowHeight="13.2" x14ac:dyDescent="0.25"/>
  <cols>
    <col min="1" max="1" width="11.6640625" style="1" customWidth="1"/>
    <col min="2" max="3" width="11.6640625" style="1"/>
    <col min="4" max="4" width="10.88671875" style="1" customWidth="1"/>
    <col min="5" max="5" width="13.6640625" style="1" customWidth="1"/>
    <col min="6" max="6" width="12.109375" style="1" bestFit="1" customWidth="1"/>
    <col min="7" max="7" width="11.88671875" style="1" customWidth="1"/>
    <col min="8" max="8" width="12" style="1" customWidth="1"/>
    <col min="9" max="9" width="12.33203125" style="1" customWidth="1"/>
    <col min="10" max="10" width="11.6640625" style="1"/>
    <col min="11" max="11" width="14.44140625" style="1" bestFit="1" customWidth="1"/>
    <col min="12" max="12" width="23.88671875" style="1" customWidth="1"/>
    <col min="13" max="13" width="21.109375" style="1" bestFit="1" customWidth="1"/>
    <col min="14" max="14" width="13.44140625" style="1" bestFit="1" customWidth="1"/>
    <col min="15" max="15" width="11.44140625" style="1" customWidth="1"/>
    <col min="16" max="16" width="2.5546875" style="1" customWidth="1"/>
    <col min="17" max="17" width="21" style="1" bestFit="1" customWidth="1"/>
    <col min="18" max="27" width="5.44140625" style="1" bestFit="1" customWidth="1"/>
    <col min="28" max="28" width="6" style="1" bestFit="1" customWidth="1"/>
    <col min="29" max="29" width="6.21875" style="1" customWidth="1"/>
    <col min="30" max="44" width="5.44140625" style="1" bestFit="1" customWidth="1"/>
    <col min="45" max="16384" width="11.6640625" style="1"/>
  </cols>
  <sheetData>
    <row r="1" spans="1:44" ht="13.8" thickBot="1" x14ac:dyDescent="0.3">
      <c r="J1" s="2"/>
      <c r="K1" s="137" t="s">
        <v>0</v>
      </c>
      <c r="L1" s="138"/>
      <c r="M1" s="139"/>
      <c r="N1" s="3"/>
      <c r="O1" s="4"/>
      <c r="P1" s="4"/>
      <c r="Q1" s="140" t="s">
        <v>1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</row>
    <row r="2" spans="1:44" ht="13.8" thickBot="1" x14ac:dyDescent="0.3">
      <c r="J2" s="2"/>
      <c r="K2" s="5" t="s">
        <v>2</v>
      </c>
      <c r="L2" s="6" t="s">
        <v>3</v>
      </c>
      <c r="M2" s="7" t="s">
        <v>4</v>
      </c>
      <c r="N2" s="4" t="s">
        <v>5</v>
      </c>
      <c r="O2" s="8">
        <f>M5*50%</f>
        <v>0</v>
      </c>
      <c r="P2" s="9"/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0" t="s">
        <v>21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31</v>
      </c>
      <c r="AQ2" s="10" t="s">
        <v>32</v>
      </c>
      <c r="AR2" s="10" t="s">
        <v>33</v>
      </c>
    </row>
    <row r="3" spans="1:44" ht="13.2" customHeight="1" x14ac:dyDescent="0.25">
      <c r="B3" s="182" t="s">
        <v>151</v>
      </c>
      <c r="C3" s="182"/>
      <c r="D3" s="182"/>
      <c r="E3" s="182"/>
      <c r="J3" s="2"/>
      <c r="K3" s="141">
        <v>1</v>
      </c>
      <c r="L3" s="143">
        <v>0</v>
      </c>
      <c r="M3" s="145">
        <f>F17*L3</f>
        <v>0</v>
      </c>
      <c r="N3" s="4" t="s">
        <v>35</v>
      </c>
      <c r="O3" s="8">
        <f>M5-O2</f>
        <v>0</v>
      </c>
      <c r="P3" s="4"/>
      <c r="Q3" s="12" t="s">
        <v>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13"/>
      <c r="AR3" s="13"/>
    </row>
    <row r="4" spans="1:44" ht="15.75" customHeight="1" thickBot="1" x14ac:dyDescent="0.3">
      <c r="B4" s="182"/>
      <c r="C4" s="182"/>
      <c r="D4" s="182"/>
      <c r="E4" s="182"/>
      <c r="J4" s="2"/>
      <c r="K4" s="142"/>
      <c r="L4" s="144"/>
      <c r="M4" s="146"/>
      <c r="N4" s="4" t="s">
        <v>37</v>
      </c>
      <c r="O4" s="8">
        <f>O3*7.38%</f>
        <v>0</v>
      </c>
      <c r="P4" s="4"/>
      <c r="Q4" s="12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40</v>
      </c>
      <c r="W4" s="13" t="s">
        <v>43</v>
      </c>
      <c r="X4" s="13" t="s">
        <v>44</v>
      </c>
      <c r="Y4" s="13" t="s">
        <v>41</v>
      </c>
      <c r="Z4" s="13" t="s">
        <v>44</v>
      </c>
      <c r="AA4" s="13" t="s">
        <v>43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40</v>
      </c>
      <c r="AG4" s="13" t="s">
        <v>48</v>
      </c>
      <c r="AH4" s="13" t="s">
        <v>40</v>
      </c>
      <c r="AI4" s="13" t="s">
        <v>41</v>
      </c>
      <c r="AJ4" s="13" t="s">
        <v>41</v>
      </c>
      <c r="AK4" s="13" t="s">
        <v>40</v>
      </c>
      <c r="AL4" s="13" t="s">
        <v>43</v>
      </c>
      <c r="AM4" s="13" t="s">
        <v>49</v>
      </c>
      <c r="AN4" s="13" t="s">
        <v>50</v>
      </c>
      <c r="AO4" s="13" t="s">
        <v>41</v>
      </c>
      <c r="AP4" s="14" t="s">
        <v>48</v>
      </c>
      <c r="AQ4" s="13" t="s">
        <v>40</v>
      </c>
      <c r="AR4" s="13" t="s">
        <v>51</v>
      </c>
    </row>
    <row r="5" spans="1:44" ht="13.8" customHeight="1" thickBot="1" x14ac:dyDescent="0.3">
      <c r="B5" s="182"/>
      <c r="C5" s="182"/>
      <c r="D5" s="182"/>
      <c r="E5" s="182"/>
      <c r="J5" s="2"/>
      <c r="K5" s="2"/>
      <c r="L5" s="15"/>
      <c r="M5" s="16">
        <f>SUM(M3:M4)</f>
        <v>0</v>
      </c>
      <c r="N5" s="4" t="s">
        <v>52</v>
      </c>
      <c r="O5" s="8">
        <f>O3+O4</f>
        <v>0</v>
      </c>
      <c r="P5" s="4"/>
      <c r="Q5" s="12" t="s">
        <v>53</v>
      </c>
      <c r="R5" s="13" t="s">
        <v>40</v>
      </c>
      <c r="S5" s="13" t="s">
        <v>39</v>
      </c>
      <c r="T5" s="13" t="s">
        <v>46</v>
      </c>
      <c r="U5" s="13" t="s">
        <v>40</v>
      </c>
      <c r="V5" s="13" t="s">
        <v>54</v>
      </c>
      <c r="W5" s="13" t="s">
        <v>55</v>
      </c>
      <c r="X5" s="13" t="s">
        <v>50</v>
      </c>
      <c r="Y5" s="13" t="s">
        <v>56</v>
      </c>
      <c r="Z5" s="13" t="s">
        <v>50</v>
      </c>
      <c r="AA5" s="13" t="s">
        <v>57</v>
      </c>
      <c r="AB5" s="13" t="s">
        <v>58</v>
      </c>
      <c r="AC5" s="13" t="s">
        <v>47</v>
      </c>
      <c r="AD5" s="13" t="s">
        <v>56</v>
      </c>
      <c r="AE5" s="13" t="s">
        <v>50</v>
      </c>
      <c r="AF5" s="13" t="s">
        <v>49</v>
      </c>
      <c r="AG5" s="13" t="s">
        <v>44</v>
      </c>
      <c r="AH5" s="13" t="s">
        <v>49</v>
      </c>
      <c r="AI5" s="13" t="s">
        <v>59</v>
      </c>
      <c r="AJ5" s="13" t="s">
        <v>50</v>
      </c>
      <c r="AK5" s="13" t="s">
        <v>49</v>
      </c>
      <c r="AL5" s="13" t="s">
        <v>47</v>
      </c>
      <c r="AM5" s="13" t="s">
        <v>41</v>
      </c>
      <c r="AN5" s="13" t="s">
        <v>60</v>
      </c>
      <c r="AO5" s="13" t="s">
        <v>58</v>
      </c>
      <c r="AP5" s="14" t="s">
        <v>46</v>
      </c>
      <c r="AQ5" s="13" t="s">
        <v>49</v>
      </c>
      <c r="AR5" s="13" t="s">
        <v>45</v>
      </c>
    </row>
    <row r="6" spans="1:44" ht="14.4" thickBot="1" x14ac:dyDescent="0.35">
      <c r="A6" s="95"/>
      <c r="J6" s="152" t="s">
        <v>61</v>
      </c>
      <c r="K6" s="153"/>
      <c r="L6" s="17"/>
      <c r="M6" s="18"/>
      <c r="N6" s="3"/>
      <c r="O6" s="19" t="s">
        <v>62</v>
      </c>
      <c r="P6" s="4"/>
      <c r="Q6" s="12" t="s">
        <v>63</v>
      </c>
      <c r="R6" s="13" t="s">
        <v>41</v>
      </c>
      <c r="S6" s="13" t="s">
        <v>46</v>
      </c>
      <c r="T6" s="13" t="s">
        <v>59</v>
      </c>
      <c r="U6" s="13" t="s">
        <v>41</v>
      </c>
      <c r="V6" s="13" t="s">
        <v>46</v>
      </c>
      <c r="W6" s="13" t="s">
        <v>56</v>
      </c>
      <c r="X6" s="13" t="s">
        <v>50</v>
      </c>
      <c r="Y6" s="13" t="s">
        <v>47</v>
      </c>
      <c r="Z6" s="13" t="s">
        <v>50</v>
      </c>
      <c r="AA6" s="13" t="s">
        <v>42</v>
      </c>
      <c r="AB6" s="13" t="s">
        <v>58</v>
      </c>
      <c r="AC6" s="13" t="s">
        <v>41</v>
      </c>
      <c r="AD6" s="13" t="s">
        <v>58</v>
      </c>
      <c r="AE6" s="13" t="s">
        <v>42</v>
      </c>
      <c r="AF6" s="13" t="s">
        <v>46</v>
      </c>
      <c r="AG6" s="13" t="s">
        <v>47</v>
      </c>
      <c r="AH6" s="13" t="s">
        <v>46</v>
      </c>
      <c r="AI6" s="13" t="s">
        <v>42</v>
      </c>
      <c r="AJ6" s="13" t="s">
        <v>47</v>
      </c>
      <c r="AK6" s="13" t="s">
        <v>46</v>
      </c>
      <c r="AL6" s="13" t="s">
        <v>43</v>
      </c>
      <c r="AM6" s="13" t="s">
        <v>47</v>
      </c>
      <c r="AN6" s="13" t="s">
        <v>40</v>
      </c>
      <c r="AO6" s="13" t="s">
        <v>48</v>
      </c>
      <c r="AP6" s="14" t="s">
        <v>58</v>
      </c>
      <c r="AQ6" s="13" t="s">
        <v>46</v>
      </c>
      <c r="AR6" s="13" t="s">
        <v>64</v>
      </c>
    </row>
    <row r="7" spans="1:44" ht="13.8" x14ac:dyDescent="0.3">
      <c r="A7" s="95"/>
      <c r="J7" s="51" t="s">
        <v>65</v>
      </c>
      <c r="K7" s="52">
        <v>6372.34</v>
      </c>
      <c r="L7" s="20"/>
      <c r="M7" s="18"/>
      <c r="N7" s="3"/>
      <c r="O7" s="4"/>
      <c r="P7" s="4"/>
      <c r="Q7" s="12" t="s">
        <v>66</v>
      </c>
      <c r="R7" s="13" t="s">
        <v>42</v>
      </c>
      <c r="S7" s="13" t="s">
        <v>40</v>
      </c>
      <c r="T7" s="13" t="s">
        <v>41</v>
      </c>
      <c r="U7" s="13" t="s">
        <v>59</v>
      </c>
      <c r="V7" s="13" t="s">
        <v>40</v>
      </c>
      <c r="W7" s="13" t="s">
        <v>43</v>
      </c>
      <c r="X7" s="13" t="s">
        <v>58</v>
      </c>
      <c r="Y7" s="13" t="s">
        <v>43</v>
      </c>
      <c r="Z7" s="13" t="s">
        <v>58</v>
      </c>
      <c r="AA7" s="13" t="s">
        <v>43</v>
      </c>
      <c r="AB7" s="13" t="s">
        <v>44</v>
      </c>
      <c r="AC7" s="13" t="s">
        <v>58</v>
      </c>
      <c r="AD7" s="13" t="s">
        <v>48</v>
      </c>
      <c r="AE7" s="13" t="s">
        <v>48</v>
      </c>
      <c r="AF7" s="13" t="s">
        <v>40</v>
      </c>
      <c r="AG7" s="13" t="s">
        <v>41</v>
      </c>
      <c r="AH7" s="13" t="s">
        <v>40</v>
      </c>
      <c r="AI7" s="13" t="s">
        <v>48</v>
      </c>
      <c r="AJ7" s="13" t="s">
        <v>43</v>
      </c>
      <c r="AK7" s="13" t="s">
        <v>40</v>
      </c>
      <c r="AL7" s="13" t="s">
        <v>40</v>
      </c>
      <c r="AM7" s="13" t="s">
        <v>42</v>
      </c>
      <c r="AN7" s="13" t="s">
        <v>42</v>
      </c>
      <c r="AO7" s="13" t="s">
        <v>43</v>
      </c>
      <c r="AP7" s="14" t="s">
        <v>41</v>
      </c>
      <c r="AQ7" s="13" t="s">
        <v>60</v>
      </c>
      <c r="AR7" s="13" t="s">
        <v>58</v>
      </c>
    </row>
    <row r="8" spans="1:44" ht="13.8" x14ac:dyDescent="0.3">
      <c r="A8" s="95"/>
      <c r="J8" s="53" t="s">
        <v>67</v>
      </c>
      <c r="K8" s="54">
        <v>0</v>
      </c>
      <c r="L8" s="20"/>
      <c r="M8" s="21" t="s">
        <v>68</v>
      </c>
      <c r="N8" s="3"/>
      <c r="O8" s="22"/>
      <c r="P8" s="4"/>
      <c r="Q8" s="12" t="s">
        <v>69</v>
      </c>
      <c r="R8" s="13" t="s">
        <v>40</v>
      </c>
      <c r="S8" s="13" t="s">
        <v>54</v>
      </c>
      <c r="T8" s="13" t="s">
        <v>46</v>
      </c>
      <c r="U8" s="13" t="s">
        <v>40</v>
      </c>
      <c r="V8" s="13" t="s">
        <v>49</v>
      </c>
      <c r="W8" s="13" t="s">
        <v>59</v>
      </c>
      <c r="X8" s="13" t="s">
        <v>50</v>
      </c>
      <c r="Y8" s="13" t="s">
        <v>59</v>
      </c>
      <c r="Z8" s="13" t="s">
        <v>50</v>
      </c>
      <c r="AA8" s="13" t="s">
        <v>57</v>
      </c>
      <c r="AB8" s="13" t="s">
        <v>46</v>
      </c>
      <c r="AC8" s="13" t="s">
        <v>44</v>
      </c>
      <c r="AD8" s="13" t="s">
        <v>42</v>
      </c>
      <c r="AE8" s="13" t="s">
        <v>45</v>
      </c>
      <c r="AF8" s="13" t="s">
        <v>55</v>
      </c>
      <c r="AG8" s="13" t="s">
        <v>50</v>
      </c>
      <c r="AH8" s="13" t="s">
        <v>54</v>
      </c>
      <c r="AI8" s="13" t="s">
        <v>59</v>
      </c>
      <c r="AJ8" s="13" t="s">
        <v>57</v>
      </c>
      <c r="AK8" s="13" t="s">
        <v>59</v>
      </c>
      <c r="AL8" s="13" t="s">
        <v>44</v>
      </c>
      <c r="AM8" s="13" t="s">
        <v>41</v>
      </c>
      <c r="AN8" s="13" t="s">
        <v>60</v>
      </c>
      <c r="AO8" s="13" t="s">
        <v>46</v>
      </c>
      <c r="AP8" s="14" t="s">
        <v>45</v>
      </c>
      <c r="AQ8" s="13" t="s">
        <v>54</v>
      </c>
      <c r="AR8" s="13" t="s">
        <v>56</v>
      </c>
    </row>
    <row r="9" spans="1:44" x14ac:dyDescent="0.25">
      <c r="A9" s="1" t="s">
        <v>70</v>
      </c>
      <c r="C9" s="154">
        <f ca="1">TODAY()</f>
        <v>46213</v>
      </c>
      <c r="D9" s="154"/>
      <c r="E9" s="154"/>
      <c r="F9" s="154"/>
      <c r="G9" s="154"/>
      <c r="J9" s="53" t="s">
        <v>71</v>
      </c>
      <c r="K9" s="55">
        <v>0</v>
      </c>
      <c r="L9" s="23"/>
      <c r="M9" s="23">
        <f>SUM(K7:K12)</f>
        <v>9004.34</v>
      </c>
      <c r="N9" s="24"/>
      <c r="O9" s="4"/>
      <c r="P9" s="4"/>
      <c r="Q9" s="12" t="s">
        <v>72</v>
      </c>
      <c r="R9" s="13" t="s">
        <v>43</v>
      </c>
      <c r="S9" s="13" t="s">
        <v>55</v>
      </c>
      <c r="T9" s="13" t="s">
        <v>56</v>
      </c>
      <c r="U9" s="13" t="s">
        <v>43</v>
      </c>
      <c r="V9" s="13" t="s">
        <v>59</v>
      </c>
      <c r="W9" s="13" t="s">
        <v>39</v>
      </c>
      <c r="X9" s="13" t="s">
        <v>44</v>
      </c>
      <c r="Y9" s="13" t="s">
        <v>50</v>
      </c>
      <c r="Z9" s="13" t="s">
        <v>44</v>
      </c>
      <c r="AA9" s="13" t="s">
        <v>55</v>
      </c>
      <c r="AB9" s="13" t="s">
        <v>48</v>
      </c>
      <c r="AC9" s="13" t="s">
        <v>48</v>
      </c>
      <c r="AD9" s="13" t="s">
        <v>46</v>
      </c>
      <c r="AE9" s="13" t="s">
        <v>57</v>
      </c>
      <c r="AF9" s="13" t="s">
        <v>49</v>
      </c>
      <c r="AG9" s="13" t="s">
        <v>47</v>
      </c>
      <c r="AH9" s="13" t="s">
        <v>54</v>
      </c>
      <c r="AI9" s="13" t="s">
        <v>55</v>
      </c>
      <c r="AJ9" s="13" t="s">
        <v>44</v>
      </c>
      <c r="AK9" s="13" t="s">
        <v>49</v>
      </c>
      <c r="AL9" s="13" t="s">
        <v>41</v>
      </c>
      <c r="AM9" s="13" t="s">
        <v>41</v>
      </c>
      <c r="AN9" s="13" t="s">
        <v>60</v>
      </c>
      <c r="AO9" s="13" t="s">
        <v>48</v>
      </c>
      <c r="AP9" s="14" t="s">
        <v>58</v>
      </c>
      <c r="AQ9" s="13" t="s">
        <v>59</v>
      </c>
      <c r="AR9" s="13" t="s">
        <v>64</v>
      </c>
    </row>
    <row r="10" spans="1:44" ht="13.8" x14ac:dyDescent="0.3">
      <c r="A10" s="95"/>
      <c r="J10" s="53" t="s">
        <v>73</v>
      </c>
      <c r="K10" s="55">
        <v>750</v>
      </c>
      <c r="L10" s="25"/>
      <c r="M10" s="23"/>
      <c r="N10" s="26"/>
      <c r="O10" s="4"/>
      <c r="P10" s="4"/>
      <c r="Q10" s="12" t="s">
        <v>74</v>
      </c>
      <c r="R10" s="13" t="s">
        <v>44</v>
      </c>
      <c r="S10" s="13" t="s">
        <v>50</v>
      </c>
      <c r="T10" s="13" t="s">
        <v>50</v>
      </c>
      <c r="U10" s="13" t="s">
        <v>58</v>
      </c>
      <c r="V10" s="13" t="s">
        <v>50</v>
      </c>
      <c r="W10" s="13" t="s">
        <v>44</v>
      </c>
      <c r="X10" s="13" t="s">
        <v>75</v>
      </c>
      <c r="Y10" s="13" t="s">
        <v>42</v>
      </c>
      <c r="Z10" s="13" t="s">
        <v>49</v>
      </c>
      <c r="AA10" s="13" t="s">
        <v>46</v>
      </c>
      <c r="AB10" s="13" t="s">
        <v>55</v>
      </c>
      <c r="AC10" s="13" t="s">
        <v>59</v>
      </c>
      <c r="AD10" s="13" t="s">
        <v>54</v>
      </c>
      <c r="AE10" s="13" t="s">
        <v>45</v>
      </c>
      <c r="AF10" s="13" t="s">
        <v>46</v>
      </c>
      <c r="AG10" s="13" t="s">
        <v>42</v>
      </c>
      <c r="AH10" s="13" t="s">
        <v>46</v>
      </c>
      <c r="AI10" s="13" t="s">
        <v>44</v>
      </c>
      <c r="AJ10" s="13" t="s">
        <v>42</v>
      </c>
      <c r="AK10" s="13" t="s">
        <v>44</v>
      </c>
      <c r="AL10" s="13" t="s">
        <v>56</v>
      </c>
      <c r="AM10" s="13" t="s">
        <v>50</v>
      </c>
      <c r="AN10" s="13" t="s">
        <v>41</v>
      </c>
      <c r="AO10" s="13" t="s">
        <v>42</v>
      </c>
      <c r="AP10" s="14" t="s">
        <v>54</v>
      </c>
      <c r="AQ10" s="13" t="s">
        <v>45</v>
      </c>
      <c r="AR10" s="13" t="s">
        <v>55</v>
      </c>
    </row>
    <row r="11" spans="1:44" x14ac:dyDescent="0.25">
      <c r="A11" s="155" t="s">
        <v>154</v>
      </c>
      <c r="B11" s="155"/>
      <c r="C11" s="155"/>
      <c r="D11" s="155"/>
      <c r="E11" s="155"/>
      <c r="F11" s="155"/>
      <c r="G11" s="155"/>
      <c r="H11" s="155"/>
      <c r="I11" s="156"/>
      <c r="J11" s="53" t="s">
        <v>76</v>
      </c>
      <c r="K11" s="56">
        <v>1882</v>
      </c>
      <c r="L11" s="25"/>
      <c r="M11" s="2"/>
      <c r="O11" s="4"/>
      <c r="P11" s="4"/>
      <c r="Q11" s="12" t="s">
        <v>77</v>
      </c>
      <c r="R11" s="13" t="s">
        <v>41</v>
      </c>
      <c r="S11" s="13" t="s">
        <v>56</v>
      </c>
      <c r="T11" s="13" t="s">
        <v>47</v>
      </c>
      <c r="U11" s="13" t="s">
        <v>43</v>
      </c>
      <c r="V11" s="13" t="s">
        <v>59</v>
      </c>
      <c r="W11" s="13" t="s">
        <v>50</v>
      </c>
      <c r="X11" s="13" t="s">
        <v>42</v>
      </c>
      <c r="Y11" s="13" t="s">
        <v>75</v>
      </c>
      <c r="Z11" s="13" t="s">
        <v>42</v>
      </c>
      <c r="AA11" s="13" t="s">
        <v>46</v>
      </c>
      <c r="AB11" s="13" t="s">
        <v>50</v>
      </c>
      <c r="AC11" s="13" t="s">
        <v>45</v>
      </c>
      <c r="AD11" s="13" t="s">
        <v>49</v>
      </c>
      <c r="AE11" s="13" t="s">
        <v>58</v>
      </c>
      <c r="AF11" s="13" t="s">
        <v>45</v>
      </c>
      <c r="AG11" s="13" t="s">
        <v>42</v>
      </c>
      <c r="AH11" s="13" t="s">
        <v>45</v>
      </c>
      <c r="AI11" s="13" t="s">
        <v>50</v>
      </c>
      <c r="AJ11" s="13" t="s">
        <v>39</v>
      </c>
      <c r="AK11" s="13" t="s">
        <v>50</v>
      </c>
      <c r="AL11" s="13" t="s">
        <v>45</v>
      </c>
      <c r="AM11" s="13" t="s">
        <v>47</v>
      </c>
      <c r="AN11" s="13" t="s">
        <v>60</v>
      </c>
      <c r="AO11" s="13" t="s">
        <v>57</v>
      </c>
      <c r="AP11" s="14" t="s">
        <v>55</v>
      </c>
      <c r="AQ11" s="13" t="s">
        <v>42</v>
      </c>
      <c r="AR11" s="13" t="s">
        <v>50</v>
      </c>
    </row>
    <row r="12" spans="1:44" ht="13.8" thickBot="1" x14ac:dyDescent="0.3">
      <c r="A12" s="27" t="s">
        <v>78</v>
      </c>
      <c r="B12" s="28"/>
      <c r="J12" s="59" t="s">
        <v>79</v>
      </c>
      <c r="K12" s="70">
        <f>M3</f>
        <v>0</v>
      </c>
      <c r="L12" s="2"/>
      <c r="M12" s="29"/>
      <c r="N12" s="4"/>
      <c r="O12" s="4"/>
      <c r="P12" s="4"/>
      <c r="Q12" s="12" t="s">
        <v>80</v>
      </c>
      <c r="R12" s="13" t="s">
        <v>44</v>
      </c>
      <c r="S12" s="13" t="s">
        <v>50</v>
      </c>
      <c r="T12" s="13" t="s">
        <v>50</v>
      </c>
      <c r="U12" s="13" t="s">
        <v>58</v>
      </c>
      <c r="V12" s="13" t="s">
        <v>50</v>
      </c>
      <c r="W12" s="13" t="s">
        <v>44</v>
      </c>
      <c r="X12" s="13" t="s">
        <v>49</v>
      </c>
      <c r="Y12" s="13" t="s">
        <v>42</v>
      </c>
      <c r="Z12" s="13" t="s">
        <v>49</v>
      </c>
      <c r="AA12" s="13" t="s">
        <v>46</v>
      </c>
      <c r="AB12" s="13" t="s">
        <v>55</v>
      </c>
      <c r="AC12" s="13" t="s">
        <v>59</v>
      </c>
      <c r="AD12" s="13" t="s">
        <v>54</v>
      </c>
      <c r="AE12" s="13" t="s">
        <v>45</v>
      </c>
      <c r="AF12" s="13" t="s">
        <v>46</v>
      </c>
      <c r="AG12" s="13" t="s">
        <v>42</v>
      </c>
      <c r="AH12" s="13" t="s">
        <v>46</v>
      </c>
      <c r="AI12" s="13" t="s">
        <v>44</v>
      </c>
      <c r="AJ12" s="13" t="s">
        <v>42</v>
      </c>
      <c r="AK12" s="13" t="s">
        <v>44</v>
      </c>
      <c r="AL12" s="13" t="s">
        <v>56</v>
      </c>
      <c r="AM12" s="13" t="s">
        <v>50</v>
      </c>
      <c r="AN12" s="13" t="s">
        <v>41</v>
      </c>
      <c r="AO12" s="13" t="s">
        <v>42</v>
      </c>
      <c r="AP12" s="14" t="s">
        <v>54</v>
      </c>
      <c r="AQ12" s="13" t="s">
        <v>45</v>
      </c>
      <c r="AR12" s="13" t="s">
        <v>59</v>
      </c>
    </row>
    <row r="13" spans="1:44" ht="15" customHeight="1" x14ac:dyDescent="0.25">
      <c r="J13" s="51" t="s">
        <v>82</v>
      </c>
      <c r="K13" s="73">
        <f>(M22+M5)*0.12</f>
        <v>764.68079999999998</v>
      </c>
      <c r="L13" s="121"/>
      <c r="M13" s="118"/>
      <c r="N13" s="26"/>
      <c r="O13" s="4"/>
      <c r="P13" s="4"/>
      <c r="Q13" s="12" t="s">
        <v>83</v>
      </c>
      <c r="R13" s="13" t="s">
        <v>43</v>
      </c>
      <c r="S13" s="13" t="s">
        <v>57</v>
      </c>
      <c r="T13" s="13" t="s">
        <v>42</v>
      </c>
      <c r="U13" s="13" t="s">
        <v>43</v>
      </c>
      <c r="V13" s="13" t="s">
        <v>57</v>
      </c>
      <c r="W13" s="13" t="s">
        <v>55</v>
      </c>
      <c r="X13" s="13" t="s">
        <v>46</v>
      </c>
      <c r="Y13" s="13" t="s">
        <v>46</v>
      </c>
      <c r="Z13" s="13" t="s">
        <v>46</v>
      </c>
      <c r="AA13" s="13" t="s">
        <v>54</v>
      </c>
      <c r="AB13" s="13" t="s">
        <v>58</v>
      </c>
      <c r="AC13" s="13" t="s">
        <v>48</v>
      </c>
      <c r="AD13" s="13" t="s">
        <v>46</v>
      </c>
      <c r="AE13" s="13" t="s">
        <v>42</v>
      </c>
      <c r="AF13" s="13" t="s">
        <v>56</v>
      </c>
      <c r="AG13" s="13" t="s">
        <v>48</v>
      </c>
      <c r="AH13" s="13" t="s">
        <v>57</v>
      </c>
      <c r="AI13" s="13" t="s">
        <v>55</v>
      </c>
      <c r="AJ13" s="13" t="s">
        <v>58</v>
      </c>
      <c r="AK13" s="13" t="s">
        <v>57</v>
      </c>
      <c r="AL13" s="13" t="s">
        <v>43</v>
      </c>
      <c r="AM13" s="13" t="s">
        <v>48</v>
      </c>
      <c r="AN13" s="13" t="s">
        <v>60</v>
      </c>
      <c r="AO13" s="13" t="s">
        <v>41</v>
      </c>
      <c r="AP13" s="14" t="s">
        <v>58</v>
      </c>
      <c r="AQ13" s="13" t="s">
        <v>56</v>
      </c>
      <c r="AR13" s="13" t="s">
        <v>56</v>
      </c>
    </row>
    <row r="14" spans="1:44" ht="15" customHeight="1" thickBot="1" x14ac:dyDescent="0.3">
      <c r="A14" s="1" t="s">
        <v>84</v>
      </c>
      <c r="J14" s="57" t="s">
        <v>85</v>
      </c>
      <c r="K14" s="58">
        <f>(M22+K10+K11+M5)*0.12</f>
        <v>1080.5208</v>
      </c>
      <c r="L14" s="119"/>
      <c r="M14" s="120"/>
      <c r="N14" s="30"/>
      <c r="O14" s="4"/>
      <c r="P14" s="4"/>
      <c r="Q14" s="12" t="s">
        <v>86</v>
      </c>
      <c r="R14" s="13" t="s">
        <v>45</v>
      </c>
      <c r="S14" s="13" t="s">
        <v>58</v>
      </c>
      <c r="T14" s="13" t="s">
        <v>58</v>
      </c>
      <c r="U14" s="13" t="s">
        <v>44</v>
      </c>
      <c r="V14" s="13" t="s">
        <v>46</v>
      </c>
      <c r="W14" s="13" t="s">
        <v>48</v>
      </c>
      <c r="X14" s="13" t="s">
        <v>55</v>
      </c>
      <c r="Y14" s="13" t="s">
        <v>50</v>
      </c>
      <c r="Z14" s="13" t="s">
        <v>55</v>
      </c>
      <c r="AA14" s="13" t="s">
        <v>58</v>
      </c>
      <c r="AB14" s="13" t="s">
        <v>54</v>
      </c>
      <c r="AC14" s="13" t="s">
        <v>55</v>
      </c>
      <c r="AD14" s="13" t="s">
        <v>57</v>
      </c>
      <c r="AE14" s="13" t="s">
        <v>50</v>
      </c>
      <c r="AF14" s="13" t="s">
        <v>47</v>
      </c>
      <c r="AG14" s="13" t="s">
        <v>56</v>
      </c>
      <c r="AH14" s="13" t="s">
        <v>47</v>
      </c>
      <c r="AI14" s="13" t="s">
        <v>44</v>
      </c>
      <c r="AJ14" s="13" t="s">
        <v>50</v>
      </c>
      <c r="AK14" s="13" t="s">
        <v>48</v>
      </c>
      <c r="AL14" s="13" t="s">
        <v>46</v>
      </c>
      <c r="AM14" s="13" t="s">
        <v>42</v>
      </c>
      <c r="AN14" s="13" t="s">
        <v>48</v>
      </c>
      <c r="AO14" s="13" t="s">
        <v>45</v>
      </c>
      <c r="AP14" s="14" t="s">
        <v>56</v>
      </c>
      <c r="AQ14" s="13" t="s">
        <v>44</v>
      </c>
      <c r="AR14" s="13" t="s">
        <v>57</v>
      </c>
    </row>
    <row r="15" spans="1:44" ht="13.5" customHeight="1" thickBot="1" x14ac:dyDescent="0.3">
      <c r="J15" s="71"/>
      <c r="K15" s="72"/>
      <c r="L15" s="68"/>
      <c r="M15" s="31"/>
      <c r="N15" s="31"/>
      <c r="O15" s="4"/>
      <c r="P15" s="4"/>
      <c r="Q15" s="12" t="s">
        <v>87</v>
      </c>
      <c r="R15" s="13" t="s">
        <v>46</v>
      </c>
      <c r="S15" s="13" t="s">
        <v>47</v>
      </c>
      <c r="T15" s="13" t="s">
        <v>41</v>
      </c>
      <c r="U15" s="13" t="s">
        <v>58</v>
      </c>
      <c r="V15" s="13" t="s">
        <v>44</v>
      </c>
      <c r="W15" s="13" t="s">
        <v>48</v>
      </c>
      <c r="X15" s="13" t="s">
        <v>59</v>
      </c>
      <c r="Y15" s="13" t="s">
        <v>45</v>
      </c>
      <c r="Z15" s="13" t="s">
        <v>59</v>
      </c>
      <c r="AA15" s="13" t="s">
        <v>48</v>
      </c>
      <c r="AB15" s="13" t="s">
        <v>55</v>
      </c>
      <c r="AC15" s="13" t="s">
        <v>49</v>
      </c>
      <c r="AD15" s="13" t="s">
        <v>42</v>
      </c>
      <c r="AE15" s="13" t="s">
        <v>44</v>
      </c>
      <c r="AF15" s="13" t="s">
        <v>48</v>
      </c>
      <c r="AG15" s="13" t="s">
        <v>55</v>
      </c>
      <c r="AH15" s="13" t="s">
        <v>48</v>
      </c>
      <c r="AI15" s="13" t="s">
        <v>58</v>
      </c>
      <c r="AJ15" s="13" t="s">
        <v>42</v>
      </c>
      <c r="AK15" s="13" t="s">
        <v>41</v>
      </c>
      <c r="AL15" s="13" t="s">
        <v>56</v>
      </c>
      <c r="AM15" s="13" t="s">
        <v>50</v>
      </c>
      <c r="AN15" s="13" t="s">
        <v>41</v>
      </c>
      <c r="AO15" s="13" t="s">
        <v>42</v>
      </c>
      <c r="AP15" s="14" t="s">
        <v>55</v>
      </c>
      <c r="AQ15" s="13" t="s">
        <v>58</v>
      </c>
      <c r="AR15" s="13" t="s">
        <v>50</v>
      </c>
    </row>
    <row r="16" spans="1:44" ht="15" customHeight="1" thickBot="1" x14ac:dyDescent="0.3">
      <c r="A16" s="32" t="s">
        <v>2</v>
      </c>
      <c r="B16" s="161" t="s">
        <v>174</v>
      </c>
      <c r="C16" s="162"/>
      <c r="D16" s="162"/>
      <c r="E16" s="162"/>
      <c r="F16" s="162" t="s">
        <v>89</v>
      </c>
      <c r="G16" s="163"/>
      <c r="H16" s="161" t="s">
        <v>90</v>
      </c>
      <c r="I16" s="164"/>
      <c r="J16" s="60"/>
      <c r="K16" s="61"/>
      <c r="L16" s="62"/>
      <c r="M16" s="33"/>
      <c r="N16" s="34"/>
      <c r="O16" s="4"/>
      <c r="P16" s="4"/>
      <c r="Q16" s="12" t="s">
        <v>91</v>
      </c>
      <c r="R16" s="13" t="s">
        <v>47</v>
      </c>
      <c r="S16" s="13" t="s">
        <v>56</v>
      </c>
      <c r="T16" s="13" t="s">
        <v>58</v>
      </c>
      <c r="U16" s="13" t="s">
        <v>48</v>
      </c>
      <c r="V16" s="13" t="s">
        <v>42</v>
      </c>
      <c r="W16" s="13" t="s">
        <v>46</v>
      </c>
      <c r="X16" s="13" t="s">
        <v>54</v>
      </c>
      <c r="Y16" s="13" t="s">
        <v>49</v>
      </c>
      <c r="Z16" s="13" t="s">
        <v>54</v>
      </c>
      <c r="AA16" s="13" t="s">
        <v>46</v>
      </c>
      <c r="AB16" s="13" t="s">
        <v>92</v>
      </c>
      <c r="AC16" s="13" t="s">
        <v>42</v>
      </c>
      <c r="AD16" s="13" t="s">
        <v>39</v>
      </c>
      <c r="AE16" s="13" t="s">
        <v>44</v>
      </c>
      <c r="AF16" s="13" t="s">
        <v>50</v>
      </c>
      <c r="AG16" s="13" t="s">
        <v>55</v>
      </c>
      <c r="AH16" s="13" t="s">
        <v>50</v>
      </c>
      <c r="AI16" s="13" t="s">
        <v>50</v>
      </c>
      <c r="AJ16" s="13" t="s">
        <v>49</v>
      </c>
      <c r="AK16" s="13" t="s">
        <v>50</v>
      </c>
      <c r="AL16" s="13" t="s">
        <v>57</v>
      </c>
      <c r="AM16" s="13" t="s">
        <v>58</v>
      </c>
      <c r="AN16" s="13" t="s">
        <v>40</v>
      </c>
      <c r="AO16" s="13" t="s">
        <v>59</v>
      </c>
      <c r="AP16" s="14" t="s">
        <v>49</v>
      </c>
      <c r="AQ16" s="13" t="s">
        <v>57</v>
      </c>
      <c r="AR16" s="13" t="s">
        <v>64</v>
      </c>
    </row>
    <row r="17" spans="1:44" ht="14.25" customHeight="1" x14ac:dyDescent="0.25">
      <c r="A17" s="165">
        <v>1</v>
      </c>
      <c r="B17" s="185" t="s">
        <v>250</v>
      </c>
      <c r="C17" s="186"/>
      <c r="D17" s="186"/>
      <c r="E17" s="187"/>
      <c r="F17" s="173">
        <v>79179</v>
      </c>
      <c r="G17" s="174"/>
      <c r="H17" s="177" t="s">
        <v>243</v>
      </c>
      <c r="I17" s="178"/>
      <c r="J17" s="60"/>
      <c r="K17" s="42"/>
      <c r="L17" s="34"/>
      <c r="M17" s="31"/>
      <c r="N17" s="3"/>
      <c r="O17" s="4"/>
      <c r="P17" s="4"/>
      <c r="Q17" s="12" t="s">
        <v>94</v>
      </c>
      <c r="R17" s="13" t="s">
        <v>48</v>
      </c>
      <c r="S17" s="13" t="s">
        <v>50</v>
      </c>
      <c r="T17" s="13" t="s">
        <v>42</v>
      </c>
      <c r="U17" s="13" t="s">
        <v>48</v>
      </c>
      <c r="V17" s="13" t="s">
        <v>45</v>
      </c>
      <c r="W17" s="13" t="s">
        <v>57</v>
      </c>
      <c r="X17" s="13" t="s">
        <v>45</v>
      </c>
      <c r="Y17" s="13" t="s">
        <v>58</v>
      </c>
      <c r="Z17" s="13" t="s">
        <v>45</v>
      </c>
      <c r="AA17" s="13" t="s">
        <v>42</v>
      </c>
      <c r="AB17" s="13" t="s">
        <v>95</v>
      </c>
      <c r="AC17" s="13" t="s">
        <v>44</v>
      </c>
      <c r="AD17" s="13" t="s">
        <v>44</v>
      </c>
      <c r="AE17" s="13" t="s">
        <v>59</v>
      </c>
      <c r="AF17" s="13" t="s">
        <v>50</v>
      </c>
      <c r="AG17" s="13" t="s">
        <v>58</v>
      </c>
      <c r="AH17" s="13" t="s">
        <v>45</v>
      </c>
      <c r="AI17" s="13" t="s">
        <v>42</v>
      </c>
      <c r="AJ17" s="13" t="s">
        <v>58</v>
      </c>
      <c r="AK17" s="13" t="s">
        <v>45</v>
      </c>
      <c r="AL17" s="13" t="s">
        <v>41</v>
      </c>
      <c r="AM17" s="13" t="s">
        <v>58</v>
      </c>
      <c r="AN17" s="13" t="s">
        <v>43</v>
      </c>
      <c r="AO17" s="13" t="s">
        <v>47</v>
      </c>
      <c r="AP17" s="14" t="s">
        <v>44</v>
      </c>
      <c r="AQ17" s="13" t="s">
        <v>50</v>
      </c>
      <c r="AR17" s="13" t="s">
        <v>45</v>
      </c>
    </row>
    <row r="18" spans="1:44" ht="27.6" customHeight="1" thickBot="1" x14ac:dyDescent="0.3">
      <c r="A18" s="166"/>
      <c r="B18" s="188"/>
      <c r="C18" s="189"/>
      <c r="D18" s="189"/>
      <c r="E18" s="190"/>
      <c r="F18" s="175"/>
      <c r="G18" s="176"/>
      <c r="H18" s="179"/>
      <c r="I18" s="180"/>
      <c r="J18" s="60"/>
      <c r="K18" s="42"/>
      <c r="L18" s="34">
        <f>150*3</f>
        <v>450</v>
      </c>
      <c r="M18" s="31"/>
      <c r="N18" s="3"/>
      <c r="O18" s="4"/>
      <c r="P18" s="4"/>
      <c r="Q18" s="12" t="s">
        <v>94</v>
      </c>
      <c r="R18" s="13" t="s">
        <v>48</v>
      </c>
      <c r="S18" s="13" t="s">
        <v>50</v>
      </c>
      <c r="T18" s="13" t="s">
        <v>42</v>
      </c>
      <c r="U18" s="13" t="s">
        <v>48</v>
      </c>
      <c r="V18" s="13" t="s">
        <v>45</v>
      </c>
      <c r="W18" s="13" t="s">
        <v>57</v>
      </c>
      <c r="X18" s="13" t="s">
        <v>45</v>
      </c>
      <c r="Y18" s="13" t="s">
        <v>58</v>
      </c>
      <c r="Z18" s="13" t="s">
        <v>45</v>
      </c>
      <c r="AA18" s="13" t="s">
        <v>42</v>
      </c>
      <c r="AB18" s="13" t="s">
        <v>95</v>
      </c>
      <c r="AC18" s="13" t="s">
        <v>44</v>
      </c>
      <c r="AD18" s="13" t="s">
        <v>44</v>
      </c>
      <c r="AE18" s="13" t="s">
        <v>59</v>
      </c>
      <c r="AF18" s="13" t="s">
        <v>50</v>
      </c>
      <c r="AG18" s="13" t="s">
        <v>58</v>
      </c>
      <c r="AH18" s="13" t="s">
        <v>45</v>
      </c>
      <c r="AI18" s="13" t="s">
        <v>42</v>
      </c>
      <c r="AJ18" s="13" t="s">
        <v>58</v>
      </c>
      <c r="AK18" s="13" t="s">
        <v>45</v>
      </c>
      <c r="AL18" s="13" t="s">
        <v>41</v>
      </c>
      <c r="AM18" s="13" t="s">
        <v>58</v>
      </c>
      <c r="AN18" s="13" t="s">
        <v>43</v>
      </c>
      <c r="AO18" s="13" t="s">
        <v>47</v>
      </c>
      <c r="AP18" s="14" t="s">
        <v>44</v>
      </c>
      <c r="AQ18" s="13" t="s">
        <v>50</v>
      </c>
      <c r="AR18" s="13" t="s">
        <v>45</v>
      </c>
    </row>
    <row r="19" spans="1:44" x14ac:dyDescent="0.25">
      <c r="J19" s="60"/>
      <c r="K19" s="42"/>
      <c r="L19" s="34">
        <f>80*3</f>
        <v>240</v>
      </c>
      <c r="M19" s="31"/>
      <c r="N19" s="3"/>
      <c r="O19" s="4"/>
      <c r="P19" s="4"/>
      <c r="Q19" s="12" t="s">
        <v>96</v>
      </c>
      <c r="R19" s="13" t="s">
        <v>40</v>
      </c>
      <c r="S19" s="13" t="s">
        <v>49</v>
      </c>
      <c r="T19" s="13" t="s">
        <v>46</v>
      </c>
      <c r="U19" s="13" t="s">
        <v>40</v>
      </c>
      <c r="V19" s="13" t="s">
        <v>55</v>
      </c>
      <c r="W19" s="13" t="s">
        <v>49</v>
      </c>
      <c r="X19" s="13" t="s">
        <v>46</v>
      </c>
      <c r="Y19" s="13" t="s">
        <v>45</v>
      </c>
      <c r="Z19" s="13" t="s">
        <v>46</v>
      </c>
      <c r="AA19" s="13" t="s">
        <v>56</v>
      </c>
      <c r="AB19" s="13" t="s">
        <v>97</v>
      </c>
      <c r="AC19" s="13" t="s">
        <v>48</v>
      </c>
      <c r="AD19" s="13" t="s">
        <v>50</v>
      </c>
      <c r="AE19" s="13" t="s">
        <v>50</v>
      </c>
      <c r="AF19" s="13" t="s">
        <v>39</v>
      </c>
      <c r="AG19" s="13" t="s">
        <v>58</v>
      </c>
      <c r="AH19" s="13" t="s">
        <v>49</v>
      </c>
      <c r="AI19" s="13" t="s">
        <v>59</v>
      </c>
      <c r="AJ19" s="13" t="s">
        <v>46</v>
      </c>
      <c r="AK19" s="13" t="s">
        <v>49</v>
      </c>
      <c r="AL19" s="13" t="s">
        <v>48</v>
      </c>
      <c r="AM19" s="13" t="s">
        <v>43</v>
      </c>
      <c r="AN19" s="13" t="s">
        <v>60</v>
      </c>
      <c r="AO19" s="13" t="s">
        <v>47</v>
      </c>
      <c r="AP19" s="14" t="s">
        <v>44</v>
      </c>
      <c r="AQ19" s="13" t="s">
        <v>49</v>
      </c>
      <c r="AR19" s="13" t="s">
        <v>64</v>
      </c>
    </row>
    <row r="20" spans="1:44" ht="13.5" customHeight="1" thickBot="1" x14ac:dyDescent="0.3">
      <c r="A20" s="181" t="s">
        <v>98</v>
      </c>
      <c r="B20" s="181"/>
      <c r="C20" s="181"/>
      <c r="D20" s="181"/>
      <c r="E20" s="181"/>
      <c r="F20" s="181"/>
      <c r="G20" s="181"/>
      <c r="H20" s="181"/>
      <c r="I20" s="181"/>
      <c r="J20" s="60"/>
      <c r="K20" s="63"/>
      <c r="L20" s="64"/>
      <c r="M20" s="35"/>
      <c r="N20" s="3"/>
      <c r="O20" s="4"/>
      <c r="P20" s="4"/>
      <c r="Q20" s="12" t="s">
        <v>99</v>
      </c>
      <c r="R20" s="13" t="s">
        <v>48</v>
      </c>
      <c r="S20" s="13" t="s">
        <v>44</v>
      </c>
      <c r="T20" s="13" t="s">
        <v>47</v>
      </c>
      <c r="U20" s="13" t="s">
        <v>41</v>
      </c>
      <c r="V20" s="13" t="s">
        <v>50</v>
      </c>
      <c r="W20" s="13" t="s">
        <v>47</v>
      </c>
      <c r="X20" s="13" t="s">
        <v>42</v>
      </c>
      <c r="Y20" s="13" t="s">
        <v>42</v>
      </c>
      <c r="Z20" s="13" t="s">
        <v>42</v>
      </c>
      <c r="AA20" s="13" t="s">
        <v>48</v>
      </c>
      <c r="AB20" s="13" t="s">
        <v>100</v>
      </c>
      <c r="AC20" s="13" t="s">
        <v>55</v>
      </c>
      <c r="AD20" s="13" t="s">
        <v>55</v>
      </c>
      <c r="AE20" s="13" t="s">
        <v>58</v>
      </c>
      <c r="AF20" s="13" t="s">
        <v>58</v>
      </c>
      <c r="AG20" s="13" t="s">
        <v>75</v>
      </c>
      <c r="AH20" s="13" t="s">
        <v>58</v>
      </c>
      <c r="AI20" s="13" t="s">
        <v>58</v>
      </c>
      <c r="AJ20" s="13" t="s">
        <v>54</v>
      </c>
      <c r="AK20" s="13" t="s">
        <v>47</v>
      </c>
      <c r="AL20" s="13" t="s">
        <v>54</v>
      </c>
      <c r="AM20" s="13" t="s">
        <v>58</v>
      </c>
      <c r="AN20" s="13" t="s">
        <v>40</v>
      </c>
      <c r="AO20" s="13" t="s">
        <v>39</v>
      </c>
      <c r="AP20" s="14" t="s">
        <v>39</v>
      </c>
      <c r="AQ20" s="13" t="s">
        <v>46</v>
      </c>
      <c r="AR20" s="13" t="s">
        <v>44</v>
      </c>
    </row>
    <row r="21" spans="1:44" ht="13.5" customHeight="1" thickBot="1" x14ac:dyDescent="0.3">
      <c r="A21" s="151" t="s">
        <v>101</v>
      </c>
      <c r="B21" s="151"/>
      <c r="C21" s="151"/>
      <c r="D21" s="151"/>
      <c r="E21" s="151"/>
      <c r="F21" s="151"/>
      <c r="G21" s="151"/>
      <c r="H21" s="151"/>
      <c r="I21" s="151"/>
      <c r="J21" s="60"/>
      <c r="K21" s="63"/>
      <c r="L21" s="64"/>
      <c r="M21" s="22"/>
      <c r="N21" s="36" t="s">
        <v>102</v>
      </c>
      <c r="O21" s="4"/>
      <c r="P21" s="4"/>
      <c r="Q21" s="12" t="s">
        <v>103</v>
      </c>
      <c r="R21" s="13" t="s">
        <v>40</v>
      </c>
      <c r="S21" s="13" t="s">
        <v>49</v>
      </c>
      <c r="T21" s="13" t="s">
        <v>46</v>
      </c>
      <c r="U21" s="13" t="s">
        <v>40</v>
      </c>
      <c r="V21" s="13" t="s">
        <v>54</v>
      </c>
      <c r="W21" s="13" t="s">
        <v>54</v>
      </c>
      <c r="X21" s="13" t="s">
        <v>46</v>
      </c>
      <c r="Y21" s="13" t="s">
        <v>45</v>
      </c>
      <c r="Z21" s="13" t="s">
        <v>46</v>
      </c>
      <c r="AA21" s="13" t="s">
        <v>57</v>
      </c>
      <c r="AB21" s="13" t="s">
        <v>97</v>
      </c>
      <c r="AC21" s="13" t="s">
        <v>48</v>
      </c>
      <c r="AD21" s="13" t="s">
        <v>50</v>
      </c>
      <c r="AE21" s="13" t="s">
        <v>45</v>
      </c>
      <c r="AF21" s="13" t="s">
        <v>49</v>
      </c>
      <c r="AG21" s="13" t="s">
        <v>58</v>
      </c>
      <c r="AH21" s="13" t="s">
        <v>39</v>
      </c>
      <c r="AI21" s="13" t="s">
        <v>59</v>
      </c>
      <c r="AJ21" s="13" t="s">
        <v>46</v>
      </c>
      <c r="AK21" s="13" t="s">
        <v>49</v>
      </c>
      <c r="AL21" s="13" t="s">
        <v>48</v>
      </c>
      <c r="AM21" s="13" t="s">
        <v>41</v>
      </c>
      <c r="AN21" s="13" t="s">
        <v>60</v>
      </c>
      <c r="AO21" s="13" t="s">
        <v>48</v>
      </c>
      <c r="AP21" s="14" t="s">
        <v>46</v>
      </c>
      <c r="AQ21" s="13" t="s">
        <v>49</v>
      </c>
      <c r="AR21" s="13" t="s">
        <v>45</v>
      </c>
    </row>
    <row r="22" spans="1:44" ht="15" customHeight="1" thickBot="1" x14ac:dyDescent="0.3">
      <c r="A22" s="32" t="s">
        <v>2</v>
      </c>
      <c r="B22" s="161" t="s">
        <v>104</v>
      </c>
      <c r="C22" s="162"/>
      <c r="D22" s="163"/>
      <c r="E22" s="161" t="s">
        <v>105</v>
      </c>
      <c r="F22" s="162"/>
      <c r="G22" s="163"/>
      <c r="H22" s="161" t="s">
        <v>106</v>
      </c>
      <c r="I22" s="164"/>
      <c r="J22" s="75" t="s">
        <v>107</v>
      </c>
      <c r="K22" s="184" t="s">
        <v>108</v>
      </c>
      <c r="L22" s="184"/>
      <c r="M22" s="65">
        <f>K7+K8+K9+N22</f>
        <v>6372.34</v>
      </c>
      <c r="N22" s="37">
        <v>0</v>
      </c>
      <c r="O22" s="4"/>
      <c r="P22" s="4"/>
      <c r="Q22" s="12" t="s">
        <v>109</v>
      </c>
      <c r="R22" s="13" t="s">
        <v>41</v>
      </c>
      <c r="S22" s="13" t="s">
        <v>59</v>
      </c>
      <c r="T22" s="13" t="s">
        <v>42</v>
      </c>
      <c r="U22" s="13" t="s">
        <v>48</v>
      </c>
      <c r="V22" s="13" t="s">
        <v>59</v>
      </c>
      <c r="W22" s="13" t="s">
        <v>55</v>
      </c>
      <c r="X22" s="13" t="s">
        <v>44</v>
      </c>
      <c r="Y22" s="13" t="s">
        <v>50</v>
      </c>
      <c r="Z22" s="13" t="s">
        <v>44</v>
      </c>
      <c r="AA22" s="13" t="s">
        <v>55</v>
      </c>
      <c r="AB22" s="13" t="s">
        <v>110</v>
      </c>
      <c r="AC22" s="13" t="s">
        <v>58</v>
      </c>
      <c r="AD22" s="13" t="s">
        <v>50</v>
      </c>
      <c r="AE22" s="13" t="s">
        <v>42</v>
      </c>
      <c r="AF22" s="13" t="s">
        <v>59</v>
      </c>
      <c r="AG22" s="13" t="s">
        <v>58</v>
      </c>
      <c r="AH22" s="13" t="s">
        <v>59</v>
      </c>
      <c r="AI22" s="13" t="s">
        <v>54</v>
      </c>
      <c r="AJ22" s="13" t="s">
        <v>46</v>
      </c>
      <c r="AK22" s="13" t="s">
        <v>59</v>
      </c>
      <c r="AL22" s="13" t="s">
        <v>48</v>
      </c>
      <c r="AM22" s="13" t="s">
        <v>47</v>
      </c>
      <c r="AN22" s="13" t="s">
        <v>40</v>
      </c>
      <c r="AO22" s="13" t="s">
        <v>47</v>
      </c>
      <c r="AP22" s="14" t="s">
        <v>44</v>
      </c>
      <c r="AQ22" s="13" t="s">
        <v>42</v>
      </c>
      <c r="AR22" s="13" t="s">
        <v>57</v>
      </c>
    </row>
    <row r="23" spans="1:44" ht="13.5" customHeight="1" x14ac:dyDescent="0.3">
      <c r="A23" s="165">
        <v>1</v>
      </c>
      <c r="B23" s="185" t="s">
        <v>249</v>
      </c>
      <c r="C23" s="186"/>
      <c r="D23" s="187"/>
      <c r="E23" s="185" t="s">
        <v>156</v>
      </c>
      <c r="F23" s="186"/>
      <c r="G23" s="187"/>
      <c r="H23" s="248" t="s">
        <v>246</v>
      </c>
      <c r="I23" s="249"/>
      <c r="K23" s="195"/>
      <c r="L23" s="195"/>
      <c r="M23" s="22"/>
      <c r="N23"/>
      <c r="O23" s="4"/>
      <c r="P23" s="4"/>
      <c r="Q23" s="12" t="s">
        <v>111</v>
      </c>
      <c r="R23" s="13" t="s">
        <v>41</v>
      </c>
      <c r="S23" s="13" t="s">
        <v>50</v>
      </c>
      <c r="T23" s="13" t="s">
        <v>47</v>
      </c>
      <c r="U23" s="13" t="s">
        <v>43</v>
      </c>
      <c r="V23" s="13" t="s">
        <v>57</v>
      </c>
      <c r="W23" s="13" t="s">
        <v>44</v>
      </c>
      <c r="X23" s="13" t="s">
        <v>42</v>
      </c>
      <c r="Y23" s="13" t="s">
        <v>39</v>
      </c>
      <c r="Z23" s="13" t="s">
        <v>42</v>
      </c>
      <c r="AA23" s="13" t="s">
        <v>58</v>
      </c>
      <c r="AB23" s="13" t="s">
        <v>95</v>
      </c>
      <c r="AC23" s="13" t="s">
        <v>42</v>
      </c>
      <c r="AD23" s="13" t="s">
        <v>49</v>
      </c>
      <c r="AE23" s="13" t="s">
        <v>58</v>
      </c>
      <c r="AF23" s="13" t="s">
        <v>46</v>
      </c>
      <c r="AG23" s="13" t="s">
        <v>54</v>
      </c>
      <c r="AH23" s="13" t="s">
        <v>46</v>
      </c>
      <c r="AI23" s="13" t="s">
        <v>46</v>
      </c>
      <c r="AJ23" s="13" t="s">
        <v>112</v>
      </c>
      <c r="AK23" s="13" t="s">
        <v>44</v>
      </c>
      <c r="AL23" s="13" t="s">
        <v>57</v>
      </c>
      <c r="AM23" s="13" t="s">
        <v>47</v>
      </c>
      <c r="AN23" s="13" t="s">
        <v>60</v>
      </c>
      <c r="AO23" s="13" t="s">
        <v>59</v>
      </c>
      <c r="AP23" s="14" t="s">
        <v>39</v>
      </c>
      <c r="AQ23" s="13" t="s">
        <v>45</v>
      </c>
      <c r="AR23" s="13" t="s">
        <v>50</v>
      </c>
    </row>
    <row r="24" spans="1:44" ht="25.8" customHeight="1" thickBot="1" x14ac:dyDescent="0.3">
      <c r="A24" s="166"/>
      <c r="B24" s="188"/>
      <c r="C24" s="189"/>
      <c r="D24" s="190"/>
      <c r="E24" s="188"/>
      <c r="F24" s="189"/>
      <c r="G24" s="190"/>
      <c r="H24" s="250"/>
      <c r="I24" s="251"/>
      <c r="L24" s="64"/>
      <c r="M24" s="22"/>
      <c r="N24" s="89"/>
      <c r="O24" s="4"/>
      <c r="P24" s="4"/>
      <c r="Q24" s="12" t="s">
        <v>113</v>
      </c>
      <c r="R24" s="13" t="s">
        <v>40</v>
      </c>
      <c r="S24" s="13" t="s">
        <v>49</v>
      </c>
      <c r="T24" s="13" t="s">
        <v>46</v>
      </c>
      <c r="U24" s="13" t="s">
        <v>40</v>
      </c>
      <c r="V24" s="13" t="s">
        <v>59</v>
      </c>
      <c r="W24" s="13" t="s">
        <v>49</v>
      </c>
      <c r="X24" s="13" t="s">
        <v>44</v>
      </c>
      <c r="Y24" s="13" t="s">
        <v>50</v>
      </c>
      <c r="Z24" s="13" t="s">
        <v>44</v>
      </c>
      <c r="AA24" s="13" t="s">
        <v>57</v>
      </c>
      <c r="AB24" s="13" t="s">
        <v>114</v>
      </c>
      <c r="AC24" s="13" t="s">
        <v>41</v>
      </c>
      <c r="AD24" s="13" t="s">
        <v>50</v>
      </c>
      <c r="AE24" s="13" t="s">
        <v>45</v>
      </c>
      <c r="AF24" s="13" t="s">
        <v>49</v>
      </c>
      <c r="AG24" s="13" t="s">
        <v>47</v>
      </c>
      <c r="AH24" s="13" t="s">
        <v>49</v>
      </c>
      <c r="AI24" s="13" t="s">
        <v>59</v>
      </c>
      <c r="AJ24" s="13" t="s">
        <v>44</v>
      </c>
      <c r="AK24" s="13" t="s">
        <v>39</v>
      </c>
      <c r="AL24" s="13" t="s">
        <v>41</v>
      </c>
      <c r="AM24" s="13" t="s">
        <v>43</v>
      </c>
      <c r="AN24" s="13" t="s">
        <v>60</v>
      </c>
      <c r="AO24" s="13" t="s">
        <v>48</v>
      </c>
      <c r="AP24" s="14" t="s">
        <v>44</v>
      </c>
      <c r="AQ24" s="13" t="s">
        <v>54</v>
      </c>
      <c r="AR24" s="13" t="s">
        <v>64</v>
      </c>
    </row>
    <row r="25" spans="1:44" ht="15" customHeight="1" thickBot="1" x14ac:dyDescent="0.3">
      <c r="G25" s="94"/>
      <c r="H25" s="219"/>
      <c r="I25" s="219"/>
      <c r="J25" s="27"/>
      <c r="K25" s="195"/>
      <c r="L25" s="195"/>
      <c r="M25" s="66"/>
      <c r="N25" s="67"/>
      <c r="O25" s="4"/>
      <c r="P25" s="4"/>
      <c r="Q25" s="12" t="s">
        <v>115</v>
      </c>
      <c r="R25" s="13" t="s">
        <v>43</v>
      </c>
      <c r="S25" s="13" t="s">
        <v>47</v>
      </c>
      <c r="T25" s="13" t="s">
        <v>43</v>
      </c>
      <c r="U25" s="13" t="s">
        <v>40</v>
      </c>
      <c r="V25" s="13" t="s">
        <v>44</v>
      </c>
      <c r="W25" s="13" t="s">
        <v>41</v>
      </c>
      <c r="X25" s="13" t="s">
        <v>56</v>
      </c>
      <c r="Y25" s="13" t="s">
        <v>45</v>
      </c>
      <c r="Z25" s="13" t="s">
        <v>56</v>
      </c>
      <c r="AA25" s="13" t="s">
        <v>43</v>
      </c>
      <c r="AB25" s="13" t="s">
        <v>116</v>
      </c>
      <c r="AC25" s="13" t="s">
        <v>56</v>
      </c>
      <c r="AD25" s="13" t="s">
        <v>57</v>
      </c>
      <c r="AE25" s="13" t="s">
        <v>41</v>
      </c>
      <c r="AF25" s="13" t="s">
        <v>48</v>
      </c>
      <c r="AG25" s="13" t="s">
        <v>54</v>
      </c>
      <c r="AH25" s="13" t="s">
        <v>48</v>
      </c>
      <c r="AI25" s="13" t="s">
        <v>48</v>
      </c>
      <c r="AJ25" s="13" t="s">
        <v>57</v>
      </c>
      <c r="AK25" s="13" t="s">
        <v>41</v>
      </c>
      <c r="AL25" s="13" t="s">
        <v>75</v>
      </c>
      <c r="AM25" s="13" t="s">
        <v>48</v>
      </c>
      <c r="AN25" s="13" t="s">
        <v>60</v>
      </c>
      <c r="AO25" s="13" t="s">
        <v>39</v>
      </c>
      <c r="AP25" s="14" t="s">
        <v>55</v>
      </c>
      <c r="AQ25" s="13" t="s">
        <v>58</v>
      </c>
      <c r="AR25" s="13" t="s">
        <v>58</v>
      </c>
    </row>
    <row r="26" spans="1:44" ht="14.4" customHeight="1" x14ac:dyDescent="0.25">
      <c r="A26" s="78"/>
      <c r="B26" s="78"/>
      <c r="C26" s="244" t="s">
        <v>247</v>
      </c>
      <c r="D26" s="245"/>
      <c r="E26" s="199">
        <v>3300</v>
      </c>
      <c r="F26" s="200"/>
      <c r="G26" s="201"/>
      <c r="H26" s="237"/>
      <c r="I26" s="238"/>
      <c r="L26" s="28"/>
      <c r="M26" s="31"/>
      <c r="N26" s="30"/>
      <c r="O26" s="4"/>
      <c r="P26" s="4"/>
      <c r="Q26" s="12" t="s">
        <v>118</v>
      </c>
      <c r="R26" s="13" t="s">
        <v>49</v>
      </c>
      <c r="S26" s="13" t="s">
        <v>41</v>
      </c>
      <c r="T26" s="13" t="s">
        <v>47</v>
      </c>
      <c r="U26" s="13" t="s">
        <v>42</v>
      </c>
      <c r="V26" s="13" t="s">
        <v>41</v>
      </c>
      <c r="W26" s="13" t="s">
        <v>41</v>
      </c>
      <c r="X26" s="13" t="s">
        <v>50</v>
      </c>
      <c r="Y26" s="13" t="s">
        <v>47</v>
      </c>
      <c r="Z26" s="13" t="s">
        <v>50</v>
      </c>
      <c r="AA26" s="13" t="s">
        <v>48</v>
      </c>
      <c r="AB26" s="13" t="s">
        <v>119</v>
      </c>
      <c r="AC26" s="13" t="s">
        <v>50</v>
      </c>
      <c r="AD26" s="13" t="s">
        <v>58</v>
      </c>
      <c r="AE26" s="13" t="s">
        <v>58</v>
      </c>
      <c r="AF26" s="13" t="s">
        <v>43</v>
      </c>
      <c r="AG26" s="13" t="s">
        <v>58</v>
      </c>
      <c r="AH26" s="13" t="s">
        <v>41</v>
      </c>
      <c r="AI26" s="13" t="s">
        <v>47</v>
      </c>
      <c r="AJ26" s="13" t="s">
        <v>47</v>
      </c>
      <c r="AK26" s="13" t="s">
        <v>43</v>
      </c>
      <c r="AL26" s="13" t="s">
        <v>48</v>
      </c>
      <c r="AM26" s="13" t="s">
        <v>39</v>
      </c>
      <c r="AN26" s="13" t="s">
        <v>57</v>
      </c>
      <c r="AO26" s="13" t="s">
        <v>47</v>
      </c>
      <c r="AP26" s="14" t="s">
        <v>58</v>
      </c>
      <c r="AQ26" s="13" t="s">
        <v>43</v>
      </c>
      <c r="AR26" s="13" t="s">
        <v>58</v>
      </c>
    </row>
    <row r="27" spans="1:44" ht="15.75" customHeight="1" x14ac:dyDescent="0.25">
      <c r="A27" s="79"/>
      <c r="B27" s="81"/>
      <c r="C27" s="246" t="s">
        <v>79</v>
      </c>
      <c r="D27" s="247"/>
      <c r="E27" s="202">
        <v>39.590000000000003</v>
      </c>
      <c r="F27" s="203"/>
      <c r="G27" s="204"/>
      <c r="O27" s="4"/>
      <c r="P27" s="4"/>
      <c r="Q27" s="12" t="s">
        <v>121</v>
      </c>
      <c r="R27" s="13" t="s">
        <v>50</v>
      </c>
      <c r="S27" s="13" t="s">
        <v>60</v>
      </c>
      <c r="T27" s="13" t="s">
        <v>40</v>
      </c>
      <c r="U27" s="13" t="s">
        <v>42</v>
      </c>
      <c r="V27" s="13" t="s">
        <v>60</v>
      </c>
      <c r="W27" s="13" t="s">
        <v>60</v>
      </c>
      <c r="X27" s="13" t="s">
        <v>41</v>
      </c>
      <c r="Y27" s="13" t="s">
        <v>60</v>
      </c>
      <c r="Z27" s="13" t="s">
        <v>41</v>
      </c>
      <c r="AA27" s="13" t="s">
        <v>60</v>
      </c>
      <c r="AB27" s="13" t="s">
        <v>114</v>
      </c>
      <c r="AC27" s="13" t="s">
        <v>41</v>
      </c>
      <c r="AD27" s="13" t="s">
        <v>40</v>
      </c>
      <c r="AE27" s="13" t="s">
        <v>43</v>
      </c>
      <c r="AF27" s="13" t="s">
        <v>60</v>
      </c>
      <c r="AG27" s="13" t="s">
        <v>40</v>
      </c>
      <c r="AH27" s="13" t="s">
        <v>60</v>
      </c>
      <c r="AI27" s="13" t="s">
        <v>40</v>
      </c>
      <c r="AJ27" s="13" t="s">
        <v>60</v>
      </c>
      <c r="AK27" s="13" t="s">
        <v>60</v>
      </c>
      <c r="AL27" s="13" t="s">
        <v>60</v>
      </c>
      <c r="AM27" s="13" t="s">
        <v>57</v>
      </c>
      <c r="AN27" s="13" t="s">
        <v>59</v>
      </c>
      <c r="AO27" s="13" t="s">
        <v>60</v>
      </c>
      <c r="AP27" s="14" t="s">
        <v>40</v>
      </c>
      <c r="AQ27" s="13" t="s">
        <v>60</v>
      </c>
      <c r="AR27" s="13" t="s">
        <v>48</v>
      </c>
    </row>
    <row r="28" spans="1:44" ht="15.75" customHeight="1" thickBot="1" x14ac:dyDescent="0.3">
      <c r="C28" s="240" t="s">
        <v>248</v>
      </c>
      <c r="D28" s="241"/>
      <c r="E28" s="205">
        <v>400.75</v>
      </c>
      <c r="F28" s="206"/>
      <c r="G28" s="207"/>
      <c r="H28" s="239"/>
      <c r="I28" s="155"/>
      <c r="J28" s="1" t="s">
        <v>81</v>
      </c>
      <c r="N28" s="3"/>
      <c r="O28" s="4"/>
      <c r="P28" s="4"/>
      <c r="Q28" s="12" t="s">
        <v>123</v>
      </c>
      <c r="R28" s="50" t="s">
        <v>41</v>
      </c>
      <c r="S28" s="50" t="s">
        <v>58</v>
      </c>
      <c r="T28" s="50" t="s">
        <v>48</v>
      </c>
      <c r="U28" s="50" t="s">
        <v>43</v>
      </c>
      <c r="V28" s="50" t="s">
        <v>46</v>
      </c>
      <c r="W28" s="50" t="s">
        <v>48</v>
      </c>
      <c r="X28" s="50" t="s">
        <v>42</v>
      </c>
      <c r="Y28" s="50" t="s">
        <v>57</v>
      </c>
      <c r="Z28" s="50" t="s">
        <v>42</v>
      </c>
      <c r="AA28" s="50" t="s">
        <v>41</v>
      </c>
      <c r="AB28" s="50" t="s">
        <v>124</v>
      </c>
      <c r="AC28" s="50" t="s">
        <v>42</v>
      </c>
      <c r="AD28" s="50" t="s">
        <v>59</v>
      </c>
      <c r="AE28" s="50" t="s">
        <v>47</v>
      </c>
      <c r="AF28" s="50" t="s">
        <v>47</v>
      </c>
      <c r="AG28" s="50" t="s">
        <v>39</v>
      </c>
      <c r="AH28" s="50" t="s">
        <v>48</v>
      </c>
      <c r="AI28" s="50" t="s">
        <v>47</v>
      </c>
      <c r="AJ28" s="50" t="s">
        <v>59</v>
      </c>
      <c r="AK28" s="50" t="s">
        <v>48</v>
      </c>
      <c r="AL28" s="50" t="s">
        <v>39</v>
      </c>
      <c r="AM28" s="50" t="s">
        <v>47</v>
      </c>
      <c r="AN28" s="50" t="s">
        <v>60</v>
      </c>
      <c r="AO28" s="50" t="s">
        <v>75</v>
      </c>
      <c r="AP28" s="50" t="s">
        <v>49</v>
      </c>
      <c r="AQ28" s="50" t="s">
        <v>44</v>
      </c>
      <c r="AR28" s="50" t="s">
        <v>44</v>
      </c>
    </row>
    <row r="29" spans="1:44" ht="15.75" customHeight="1" x14ac:dyDescent="0.25">
      <c r="A29" s="28"/>
      <c r="B29" s="80"/>
      <c r="C29" s="208"/>
      <c r="D29" s="209"/>
      <c r="E29" s="212"/>
      <c r="F29" s="213"/>
      <c r="G29" s="214"/>
      <c r="H29" s="242"/>
      <c r="I29" s="243"/>
      <c r="N29" s="3"/>
      <c r="O29" s="4"/>
      <c r="P29" s="4"/>
      <c r="Q29" s="38" t="s">
        <v>126</v>
      </c>
      <c r="R29" s="14" t="s">
        <v>48</v>
      </c>
      <c r="S29" s="14" t="s">
        <v>46</v>
      </c>
      <c r="T29" s="14" t="s">
        <v>58</v>
      </c>
      <c r="U29" s="14" t="s">
        <v>41</v>
      </c>
      <c r="V29" s="14" t="s">
        <v>45</v>
      </c>
      <c r="W29" s="14" t="s">
        <v>58</v>
      </c>
      <c r="X29" s="14" t="s">
        <v>54</v>
      </c>
      <c r="Y29" s="14" t="s">
        <v>55</v>
      </c>
      <c r="Z29" s="14" t="s">
        <v>54</v>
      </c>
      <c r="AA29" s="14" t="s">
        <v>58</v>
      </c>
      <c r="AB29" s="14" t="s">
        <v>100</v>
      </c>
      <c r="AC29" s="14" t="s">
        <v>55</v>
      </c>
      <c r="AD29" s="14" t="s">
        <v>49</v>
      </c>
      <c r="AE29" s="14" t="s">
        <v>44</v>
      </c>
      <c r="AF29" s="14" t="s">
        <v>44</v>
      </c>
      <c r="AG29" s="14" t="s">
        <v>39</v>
      </c>
      <c r="AH29" s="14" t="s">
        <v>46</v>
      </c>
      <c r="AI29" s="14" t="s">
        <v>44</v>
      </c>
      <c r="AJ29" s="14" t="s">
        <v>39</v>
      </c>
      <c r="AK29" s="14" t="s">
        <v>44</v>
      </c>
      <c r="AL29" s="14" t="s">
        <v>55</v>
      </c>
      <c r="AM29" s="14" t="s">
        <v>58</v>
      </c>
      <c r="AN29" s="14" t="s">
        <v>40</v>
      </c>
      <c r="AO29" s="14" t="s">
        <v>49</v>
      </c>
      <c r="AP29" s="14" t="s">
        <v>112</v>
      </c>
      <c r="AQ29" s="14" t="s">
        <v>50</v>
      </c>
      <c r="AR29" s="14" t="s">
        <v>50</v>
      </c>
    </row>
    <row r="30" spans="1:44" ht="15.75" customHeight="1" thickBot="1" x14ac:dyDescent="0.3">
      <c r="C30" s="210"/>
      <c r="D30" s="211"/>
      <c r="E30" s="215"/>
      <c r="F30" s="216"/>
      <c r="G30" s="217"/>
      <c r="H30" s="242"/>
      <c r="I30" s="243"/>
      <c r="M30" s="41"/>
      <c r="N30" s="4"/>
      <c r="Q30" s="12" t="s">
        <v>127</v>
      </c>
      <c r="R30" s="13" t="s">
        <v>40</v>
      </c>
      <c r="S30" s="13" t="s">
        <v>49</v>
      </c>
      <c r="T30" s="13" t="s">
        <v>46</v>
      </c>
      <c r="U30" s="13" t="s">
        <v>60</v>
      </c>
      <c r="V30" s="13" t="s">
        <v>54</v>
      </c>
      <c r="W30" s="13" t="s">
        <v>59</v>
      </c>
      <c r="X30" s="13" t="s">
        <v>45</v>
      </c>
      <c r="Y30" s="13" t="s">
        <v>42</v>
      </c>
      <c r="Z30" s="13" t="s">
        <v>45</v>
      </c>
      <c r="AA30" s="13" t="s">
        <v>56</v>
      </c>
      <c r="AB30" s="13" t="s">
        <v>110</v>
      </c>
      <c r="AC30" s="13" t="s">
        <v>58</v>
      </c>
      <c r="AD30" s="13" t="s">
        <v>57</v>
      </c>
      <c r="AE30" s="13" t="s">
        <v>50</v>
      </c>
      <c r="AF30" s="13" t="s">
        <v>49</v>
      </c>
      <c r="AG30" s="13" t="s">
        <v>46</v>
      </c>
      <c r="AH30" s="13" t="s">
        <v>49</v>
      </c>
      <c r="AI30" s="13" t="s">
        <v>42</v>
      </c>
      <c r="AJ30" s="13" t="s">
        <v>45</v>
      </c>
      <c r="AK30" s="13" t="s">
        <v>54</v>
      </c>
      <c r="AL30" s="13" t="s">
        <v>58</v>
      </c>
      <c r="AM30" s="13" t="s">
        <v>43</v>
      </c>
      <c r="AN30" s="13" t="s">
        <v>60</v>
      </c>
      <c r="AO30" s="13" t="s">
        <v>44</v>
      </c>
      <c r="AP30" s="14" t="s">
        <v>50</v>
      </c>
      <c r="AQ30" s="13" t="s">
        <v>39</v>
      </c>
      <c r="AR30" s="13" t="s">
        <v>56</v>
      </c>
    </row>
    <row r="31" spans="1:44" x14ac:dyDescent="0.25">
      <c r="A31" s="27"/>
      <c r="B31" s="27"/>
      <c r="C31" s="27"/>
      <c r="D31" s="27"/>
      <c r="E31" s="27"/>
      <c r="F31" s="27"/>
      <c r="G31" s="27"/>
      <c r="H31" s="92"/>
      <c r="I31" s="92"/>
      <c r="M31" s="26"/>
      <c r="N31" s="26"/>
      <c r="Q31" s="12" t="s">
        <v>128</v>
      </c>
      <c r="R31" s="13" t="s">
        <v>51</v>
      </c>
      <c r="S31" s="13" t="s">
        <v>45</v>
      </c>
      <c r="T31" s="13" t="s">
        <v>64</v>
      </c>
      <c r="U31" s="13" t="s">
        <v>58</v>
      </c>
      <c r="V31" s="13" t="s">
        <v>56</v>
      </c>
      <c r="W31" s="13" t="s">
        <v>64</v>
      </c>
      <c r="X31" s="13" t="s">
        <v>55</v>
      </c>
      <c r="Y31" s="13" t="s">
        <v>50</v>
      </c>
      <c r="Z31" s="13" t="s">
        <v>59</v>
      </c>
      <c r="AA31" s="13" t="s">
        <v>56</v>
      </c>
      <c r="AB31" s="13" t="s">
        <v>92</v>
      </c>
      <c r="AC31" s="13" t="s">
        <v>50</v>
      </c>
      <c r="AD31" s="13" t="s">
        <v>64</v>
      </c>
      <c r="AE31" s="13" t="s">
        <v>45</v>
      </c>
      <c r="AF31" s="13" t="s">
        <v>64</v>
      </c>
      <c r="AG31" s="13" t="s">
        <v>44</v>
      </c>
      <c r="AH31" s="13" t="s">
        <v>45</v>
      </c>
      <c r="AI31" s="13" t="s">
        <v>57</v>
      </c>
      <c r="AJ31" s="13" t="s">
        <v>50</v>
      </c>
      <c r="AK31" s="13" t="s">
        <v>64</v>
      </c>
      <c r="AL31" s="13" t="s">
        <v>58</v>
      </c>
      <c r="AM31" s="13" t="s">
        <v>58</v>
      </c>
      <c r="AN31" s="13" t="s">
        <v>48</v>
      </c>
      <c r="AO31" s="13" t="s">
        <v>44</v>
      </c>
      <c r="AP31" s="14" t="s">
        <v>50</v>
      </c>
      <c r="AQ31" s="13" t="s">
        <v>56</v>
      </c>
      <c r="AR31" s="13" t="s">
        <v>54</v>
      </c>
    </row>
    <row r="32" spans="1:44" ht="13.5" customHeight="1" x14ac:dyDescent="0.25">
      <c r="A32" s="181" t="s">
        <v>129</v>
      </c>
      <c r="B32" s="181"/>
      <c r="C32" s="181"/>
      <c r="D32" s="181"/>
      <c r="E32" s="181"/>
      <c r="F32" s="181"/>
      <c r="G32" s="181"/>
      <c r="H32" s="181"/>
      <c r="I32" s="181"/>
      <c r="J32" s="60"/>
      <c r="K32" s="63"/>
      <c r="L32" s="64" t="s">
        <v>130</v>
      </c>
      <c r="M32" s="93">
        <v>7.3999999999999996E-2</v>
      </c>
      <c r="N32" s="3" t="s">
        <v>102</v>
      </c>
      <c r="O32" s="4"/>
      <c r="P32" s="4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4"/>
      <c r="AQ32" s="13"/>
      <c r="AR32" s="13"/>
    </row>
    <row r="33" spans="1:14" ht="15" customHeight="1" thickBot="1" x14ac:dyDescent="0.3">
      <c r="A33" s="151" t="s">
        <v>163</v>
      </c>
      <c r="B33" s="151"/>
      <c r="C33" s="151"/>
      <c r="D33" s="151"/>
      <c r="E33" s="151"/>
      <c r="F33" s="151"/>
      <c r="G33" s="151"/>
      <c r="H33" s="151"/>
      <c r="I33" s="151"/>
      <c r="L33" s="74" t="s">
        <v>132</v>
      </c>
      <c r="M33" s="35">
        <f>E29*M32</f>
        <v>0</v>
      </c>
      <c r="N33" s="35">
        <f>N22-M33</f>
        <v>0</v>
      </c>
    </row>
    <row r="34" spans="1:14" ht="13.95" customHeight="1" thickBot="1" x14ac:dyDescent="0.3">
      <c r="A34" s="88" t="s">
        <v>2</v>
      </c>
      <c r="B34" s="161" t="s">
        <v>133</v>
      </c>
      <c r="C34" s="162"/>
      <c r="D34" s="163"/>
      <c r="E34" s="161" t="s">
        <v>134</v>
      </c>
      <c r="F34" s="162"/>
      <c r="G34" s="163"/>
      <c r="H34" s="161" t="s">
        <v>135</v>
      </c>
      <c r="I34" s="164"/>
      <c r="L34" s="28" t="s">
        <v>136</v>
      </c>
      <c r="M34" s="35">
        <f>E38*M32</f>
        <v>471.55315999999999</v>
      </c>
      <c r="N34" s="35">
        <f>N22-M34</f>
        <v>-471.55315999999999</v>
      </c>
    </row>
    <row r="35" spans="1:14" ht="12.75" customHeight="1" x14ac:dyDescent="0.25">
      <c r="A35" s="39">
        <v>1</v>
      </c>
      <c r="B35" s="259" t="s">
        <v>159</v>
      </c>
      <c r="C35" s="260"/>
      <c r="D35" s="261"/>
      <c r="E35" s="259" t="s">
        <v>244</v>
      </c>
      <c r="F35" s="260"/>
      <c r="G35" s="261"/>
      <c r="H35" s="254">
        <f>K10</f>
        <v>750</v>
      </c>
      <c r="I35" s="255"/>
      <c r="L35" s="28"/>
      <c r="M35" s="35"/>
      <c r="N35" s="35"/>
    </row>
    <row r="36" spans="1:14" ht="13.5" customHeight="1" thickBot="1" x14ac:dyDescent="0.3">
      <c r="A36" s="40">
        <v>1</v>
      </c>
      <c r="B36" s="262" t="s">
        <v>160</v>
      </c>
      <c r="C36" s="263"/>
      <c r="D36" s="264"/>
      <c r="E36" s="262" t="s">
        <v>245</v>
      </c>
      <c r="F36" s="263"/>
      <c r="G36" s="264"/>
      <c r="H36" s="257">
        <f>K11</f>
        <v>1882</v>
      </c>
      <c r="I36" s="258"/>
      <c r="L36" s="28"/>
      <c r="M36" s="35"/>
      <c r="N36" s="35"/>
    </row>
    <row r="37" spans="1:14" ht="13.8" thickBot="1" x14ac:dyDescent="0.3">
      <c r="A37" s="77"/>
      <c r="B37" s="77"/>
      <c r="C37" s="252"/>
      <c r="D37" s="252"/>
      <c r="E37" s="76"/>
      <c r="F37" s="253"/>
      <c r="G37" s="253"/>
      <c r="H37" s="256"/>
      <c r="I37" s="256"/>
      <c r="J37" s="69"/>
      <c r="K37" s="69"/>
    </row>
    <row r="38" spans="1:14" ht="15" customHeight="1" x14ac:dyDescent="0.25">
      <c r="A38" s="229"/>
      <c r="B38" s="230"/>
      <c r="C38" s="231" t="s">
        <v>137</v>
      </c>
      <c r="D38" s="232"/>
      <c r="E38" s="212">
        <v>6372.34</v>
      </c>
      <c r="F38" s="213"/>
      <c r="G38" s="214"/>
      <c r="H38" s="235"/>
      <c r="I38" s="236"/>
      <c r="M38" s="41"/>
      <c r="N38" s="4"/>
    </row>
    <row r="39" spans="1:14" ht="15.75" customHeight="1" thickBot="1" x14ac:dyDescent="0.3">
      <c r="A39" s="229"/>
      <c r="B39" s="230"/>
      <c r="C39" s="233"/>
      <c r="D39" s="234"/>
      <c r="E39" s="215"/>
      <c r="F39" s="216"/>
      <c r="G39" s="217"/>
      <c r="H39" s="235"/>
      <c r="I39" s="236"/>
      <c r="M39" s="41"/>
      <c r="N39" s="4"/>
    </row>
    <row r="40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M40" s="41"/>
      <c r="N40" s="4"/>
    </row>
    <row r="41" spans="1:14" ht="13.8" x14ac:dyDescent="0.25">
      <c r="A41" s="225" t="s">
        <v>138</v>
      </c>
      <c r="B41" s="225"/>
      <c r="C41" s="225"/>
      <c r="D41" s="225"/>
      <c r="E41" s="225"/>
      <c r="F41" s="225"/>
      <c r="G41" s="225"/>
      <c r="H41" s="225"/>
      <c r="I41" s="225"/>
      <c r="L41" s="28"/>
      <c r="M41" s="35"/>
      <c r="N41" s="35"/>
    </row>
    <row r="42" spans="1:14" ht="13.8" x14ac:dyDescent="0.25">
      <c r="A42" s="225" t="s">
        <v>139</v>
      </c>
      <c r="B42" s="225"/>
      <c r="C42" s="225"/>
      <c r="D42" s="225"/>
      <c r="E42" s="225"/>
      <c r="F42" s="225"/>
      <c r="G42" s="225"/>
      <c r="H42" s="225"/>
      <c r="I42" s="225"/>
      <c r="K42" s="28"/>
      <c r="L42" s="31"/>
      <c r="M42" s="30"/>
    </row>
    <row r="43" spans="1:14" ht="15.75" customHeight="1" x14ac:dyDescent="0.25">
      <c r="A43" s="225" t="s">
        <v>158</v>
      </c>
      <c r="B43" s="225"/>
      <c r="C43" s="225"/>
      <c r="D43" s="225"/>
      <c r="E43" s="225"/>
      <c r="F43" s="225"/>
      <c r="G43" s="225"/>
      <c r="H43" s="225"/>
      <c r="I43" s="225"/>
      <c r="K43" s="28"/>
      <c r="L43" s="31"/>
      <c r="M43" s="31"/>
    </row>
    <row r="44" spans="1:14" ht="4.5" customHeight="1" x14ac:dyDescent="0.25">
      <c r="K44" s="28"/>
      <c r="L44" s="35"/>
      <c r="M44" s="35"/>
    </row>
    <row r="45" spans="1:14" ht="15" customHeight="1" x14ac:dyDescent="0.25"/>
    <row r="46" spans="1:14" ht="13.5" customHeight="1" x14ac:dyDescent="0.25">
      <c r="A46" s="1" t="s">
        <v>140</v>
      </c>
    </row>
    <row r="47" spans="1:14" s="45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4" x14ac:dyDescent="0.25">
      <c r="A48" s="46"/>
    </row>
    <row r="49" spans="1:9" x14ac:dyDescent="0.25">
      <c r="A49" s="46"/>
    </row>
    <row r="50" spans="1:9" x14ac:dyDescent="0.25">
      <c r="A50" s="46" t="s">
        <v>143</v>
      </c>
    </row>
    <row r="52" spans="1:9" x14ac:dyDescent="0.25">
      <c r="A52" s="226" t="s">
        <v>144</v>
      </c>
      <c r="B52" s="226"/>
      <c r="C52" s="226"/>
      <c r="D52" s="226"/>
      <c r="E52" s="226"/>
      <c r="F52" s="226"/>
      <c r="G52" s="226"/>
      <c r="H52" s="226"/>
      <c r="I52" s="226"/>
    </row>
    <row r="53" spans="1:9" x14ac:dyDescent="0.25">
      <c r="A53" s="155" t="s">
        <v>155</v>
      </c>
      <c r="B53" s="155"/>
      <c r="C53" s="155"/>
      <c r="D53" s="155"/>
      <c r="E53" s="155"/>
      <c r="F53" s="155"/>
      <c r="G53" s="155"/>
      <c r="H53" s="155"/>
      <c r="I53" s="155"/>
    </row>
    <row r="54" spans="1:9" x14ac:dyDescent="0.25">
      <c r="A54" s="227" t="s">
        <v>145</v>
      </c>
      <c r="B54" s="227"/>
      <c r="C54" s="227"/>
      <c r="D54" s="227"/>
      <c r="E54" s="227"/>
      <c r="F54" s="227"/>
      <c r="G54" s="227"/>
      <c r="H54" s="227"/>
      <c r="I54" s="227"/>
    </row>
    <row r="56" spans="1:9" x14ac:dyDescent="0.25">
      <c r="A56" s="28" t="s">
        <v>146</v>
      </c>
      <c r="B56" s="28"/>
      <c r="C56" s="28"/>
      <c r="D56" s="28"/>
    </row>
    <row r="57" spans="1:9" ht="12.75" customHeight="1" x14ac:dyDescent="0.25">
      <c r="A57" s="47" t="s">
        <v>147</v>
      </c>
      <c r="B57" s="47"/>
      <c r="C57" s="47"/>
      <c r="D57" s="28"/>
    </row>
    <row r="58" spans="1:9" x14ac:dyDescent="0.25">
      <c r="A58" s="28" t="s">
        <v>148</v>
      </c>
      <c r="B58" s="28"/>
      <c r="C58" s="28"/>
      <c r="D58" s="28"/>
    </row>
    <row r="59" spans="1:9" x14ac:dyDescent="0.25">
      <c r="A59" s="48" t="s">
        <v>149</v>
      </c>
      <c r="B59" s="49"/>
      <c r="C59" s="49"/>
      <c r="D59" s="28"/>
    </row>
    <row r="60" spans="1:9" x14ac:dyDescent="0.25">
      <c r="A60" s="28" t="s">
        <v>150</v>
      </c>
      <c r="B60" s="28"/>
      <c r="C60" s="28"/>
      <c r="D60" s="28"/>
    </row>
    <row r="61" spans="1:9" x14ac:dyDescent="0.25">
      <c r="B61" s="28"/>
      <c r="C61" s="28"/>
      <c r="F61" s="228"/>
      <c r="G61" s="228"/>
      <c r="H61" s="228"/>
      <c r="I61" s="228"/>
    </row>
    <row r="63" spans="1:9" x14ac:dyDescent="0.25">
      <c r="A63" s="28"/>
      <c r="B63" s="28"/>
      <c r="C63" s="28"/>
      <c r="D63" s="28"/>
    </row>
    <row r="64" spans="1:9" x14ac:dyDescent="0.25">
      <c r="A64" s="47"/>
      <c r="B64" s="47"/>
      <c r="C64" s="47"/>
      <c r="D64" s="28"/>
    </row>
    <row r="65" spans="1:4" x14ac:dyDescent="0.25">
      <c r="A65" s="28"/>
      <c r="B65" s="28"/>
      <c r="C65" s="28"/>
      <c r="D65" s="28"/>
    </row>
    <row r="66" spans="1:4" x14ac:dyDescent="0.25">
      <c r="A66" s="28"/>
      <c r="B66" s="28"/>
      <c r="C66" s="28"/>
      <c r="D66" s="28"/>
    </row>
    <row r="67" spans="1:4" x14ac:dyDescent="0.25">
      <c r="A67" s="48"/>
      <c r="B67" s="49"/>
      <c r="C67" s="49"/>
      <c r="D67" s="28"/>
    </row>
    <row r="68" spans="1:4" x14ac:dyDescent="0.25">
      <c r="A68" s="28"/>
      <c r="B68" s="28"/>
      <c r="C68" s="28"/>
      <c r="D68" s="28"/>
    </row>
  </sheetData>
  <mergeCells count="66">
    <mergeCell ref="A41:I41"/>
    <mergeCell ref="C37:D37"/>
    <mergeCell ref="F37:G37"/>
    <mergeCell ref="H35:I35"/>
    <mergeCell ref="C38:D39"/>
    <mergeCell ref="E38:G39"/>
    <mergeCell ref="H37:I37"/>
    <mergeCell ref="H36:I36"/>
    <mergeCell ref="A38:B39"/>
    <mergeCell ref="H38:I39"/>
    <mergeCell ref="B35:D35"/>
    <mergeCell ref="E35:G35"/>
    <mergeCell ref="B36:D36"/>
    <mergeCell ref="E36:G36"/>
    <mergeCell ref="F61:I61"/>
    <mergeCell ref="A42:I42"/>
    <mergeCell ref="A43:I43"/>
    <mergeCell ref="A52:I52"/>
    <mergeCell ref="A54:I54"/>
    <mergeCell ref="A53:I53"/>
    <mergeCell ref="B22:D22"/>
    <mergeCell ref="K25:L25"/>
    <mergeCell ref="E26:G26"/>
    <mergeCell ref="E27:G27"/>
    <mergeCell ref="K23:L23"/>
    <mergeCell ref="E22:G22"/>
    <mergeCell ref="H22:I22"/>
    <mergeCell ref="H25:I25"/>
    <mergeCell ref="C26:D26"/>
    <mergeCell ref="C27:D27"/>
    <mergeCell ref="H23:I24"/>
    <mergeCell ref="B34:D34"/>
    <mergeCell ref="H34:I34"/>
    <mergeCell ref="C29:D30"/>
    <mergeCell ref="E29:G30"/>
    <mergeCell ref="H29:H30"/>
    <mergeCell ref="I29:I30"/>
    <mergeCell ref="E34:G34"/>
    <mergeCell ref="E28:G28"/>
    <mergeCell ref="A32:I32"/>
    <mergeCell ref="A33:I33"/>
    <mergeCell ref="H26:I26"/>
    <mergeCell ref="H28:I28"/>
    <mergeCell ref="C28:D28"/>
    <mergeCell ref="Q1:AR1"/>
    <mergeCell ref="B3:E5"/>
    <mergeCell ref="K3:K4"/>
    <mergeCell ref="L3:L4"/>
    <mergeCell ref="M3:M4"/>
    <mergeCell ref="K1:M1"/>
    <mergeCell ref="A23:A24"/>
    <mergeCell ref="B23:D24"/>
    <mergeCell ref="E23:G24"/>
    <mergeCell ref="A21:I21"/>
    <mergeCell ref="J6:K6"/>
    <mergeCell ref="C9:G9"/>
    <mergeCell ref="A11:I11"/>
    <mergeCell ref="B16:E16"/>
    <mergeCell ref="F16:G16"/>
    <mergeCell ref="H16:I16"/>
    <mergeCell ref="A17:A18"/>
    <mergeCell ref="B17:E18"/>
    <mergeCell ref="F17:G18"/>
    <mergeCell ref="H17:I18"/>
    <mergeCell ref="A20:I20"/>
    <mergeCell ref="K22:L2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r:id="rId1"/>
  <colBreaks count="2" manualBreakCount="2">
    <brk id="9" max="1048575" man="1"/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CBEF-DB5D-4688-972A-AC2B00166DFA}">
  <sheetPr>
    <pageSetUpPr fitToPage="1"/>
  </sheetPr>
  <dimension ref="A1:AR68"/>
  <sheetViews>
    <sheetView showGridLines="0" tabSelected="1" view="pageBreakPreview" topLeftCell="A35" zoomScale="90" zoomScaleSheetLayoutView="90" workbookViewId="0">
      <selection sqref="A1:I61"/>
    </sheetView>
  </sheetViews>
  <sheetFormatPr defaultColWidth="11.6640625" defaultRowHeight="13.2" x14ac:dyDescent="0.25"/>
  <cols>
    <col min="1" max="1" width="12.109375" style="1" customWidth="1"/>
    <col min="2" max="3" width="11.6640625" style="1"/>
    <col min="4" max="4" width="10.88671875" style="1" customWidth="1"/>
    <col min="5" max="5" width="17.21875" style="1" customWidth="1"/>
    <col min="6" max="6" width="12.109375" style="1" bestFit="1" customWidth="1"/>
    <col min="7" max="7" width="11.6640625" style="1"/>
    <col min="8" max="8" width="12" style="1" customWidth="1"/>
    <col min="9" max="9" width="12.33203125" style="1" customWidth="1"/>
    <col min="10" max="10" width="11.6640625" style="1"/>
    <col min="11" max="11" width="14.44140625" style="1" bestFit="1" customWidth="1"/>
    <col min="12" max="12" width="23.88671875" style="1" customWidth="1"/>
    <col min="13" max="13" width="21.109375" style="1" bestFit="1" customWidth="1"/>
    <col min="14" max="14" width="14.44140625" style="1" bestFit="1" customWidth="1"/>
    <col min="15" max="15" width="11.44140625" style="1" customWidth="1"/>
    <col min="16" max="16" width="2.5546875" style="1" customWidth="1"/>
    <col min="17" max="17" width="21" style="1" bestFit="1" customWidth="1"/>
    <col min="18" max="27" width="5.44140625" style="1" bestFit="1" customWidth="1"/>
    <col min="28" max="28" width="6" style="1" bestFit="1" customWidth="1"/>
    <col min="29" max="44" width="5.44140625" style="1" bestFit="1" customWidth="1"/>
    <col min="45" max="16384" width="11.6640625" style="1"/>
  </cols>
  <sheetData>
    <row r="1" spans="1:44" ht="16.2" thickBot="1" x14ac:dyDescent="0.35">
      <c r="A1" s="122"/>
      <c r="J1" s="2"/>
      <c r="K1" s="137" t="s">
        <v>0</v>
      </c>
      <c r="L1" s="138"/>
      <c r="M1" s="139"/>
      <c r="N1" s="3"/>
      <c r="O1" s="4"/>
      <c r="P1" s="4"/>
      <c r="Q1" s="140" t="s">
        <v>1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</row>
    <row r="2" spans="1:44" ht="13.8" thickBot="1" x14ac:dyDescent="0.3">
      <c r="J2" s="2"/>
      <c r="K2" s="5"/>
      <c r="L2" s="6" t="s">
        <v>3</v>
      </c>
      <c r="M2" s="7" t="s">
        <v>4</v>
      </c>
      <c r="N2" s="4" t="s">
        <v>5</v>
      </c>
      <c r="O2" s="8">
        <f>M5*50%</f>
        <v>25.200000000000003</v>
      </c>
      <c r="P2" s="9"/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0" t="s">
        <v>21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31</v>
      </c>
      <c r="AQ2" s="10" t="s">
        <v>32</v>
      </c>
      <c r="AR2" s="10" t="s">
        <v>33</v>
      </c>
    </row>
    <row r="3" spans="1:44" ht="13.2" customHeight="1" x14ac:dyDescent="0.25">
      <c r="B3" s="131"/>
      <c r="C3" s="129"/>
      <c r="D3" s="129"/>
      <c r="E3" s="129"/>
      <c r="J3" s="2"/>
      <c r="K3" s="141">
        <v>1</v>
      </c>
      <c r="L3" s="143">
        <v>4.0000000000000002E-4</v>
      </c>
      <c r="M3" s="145">
        <f>F17*L3</f>
        <v>50.400000000000006</v>
      </c>
      <c r="N3" s="4" t="s">
        <v>35</v>
      </c>
      <c r="O3" s="8">
        <f>M5-O2</f>
        <v>25.200000000000003</v>
      </c>
      <c r="P3" s="4"/>
      <c r="Q3" s="12" t="s">
        <v>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13"/>
      <c r="AR3" s="13"/>
    </row>
    <row r="4" spans="1:44" ht="15.75" customHeight="1" thickBot="1" x14ac:dyDescent="0.3">
      <c r="B4" s="129"/>
      <c r="C4" s="130"/>
      <c r="D4" s="129"/>
      <c r="E4" s="129"/>
      <c r="J4" s="2"/>
      <c r="K4" s="142"/>
      <c r="L4" s="144"/>
      <c r="M4" s="146"/>
      <c r="N4" s="4" t="s">
        <v>37</v>
      </c>
      <c r="O4" s="8">
        <f>O3*7.38%</f>
        <v>1.8597600000000003</v>
      </c>
      <c r="P4" s="4"/>
      <c r="Q4" s="12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40</v>
      </c>
      <c r="W4" s="13" t="s">
        <v>43</v>
      </c>
      <c r="X4" s="13" t="s">
        <v>44</v>
      </c>
      <c r="Y4" s="13" t="s">
        <v>41</v>
      </c>
      <c r="Z4" s="13" t="s">
        <v>44</v>
      </c>
      <c r="AA4" s="13" t="s">
        <v>43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40</v>
      </c>
      <c r="AG4" s="13" t="s">
        <v>48</v>
      </c>
      <c r="AH4" s="13" t="s">
        <v>40</v>
      </c>
      <c r="AI4" s="13" t="s">
        <v>41</v>
      </c>
      <c r="AJ4" s="13" t="s">
        <v>41</v>
      </c>
      <c r="AK4" s="13" t="s">
        <v>40</v>
      </c>
      <c r="AL4" s="13" t="s">
        <v>43</v>
      </c>
      <c r="AM4" s="13" t="s">
        <v>49</v>
      </c>
      <c r="AN4" s="13" t="s">
        <v>50</v>
      </c>
      <c r="AO4" s="13" t="s">
        <v>41</v>
      </c>
      <c r="AP4" s="14" t="s">
        <v>48</v>
      </c>
      <c r="AQ4" s="13" t="s">
        <v>40</v>
      </c>
      <c r="AR4" s="13" t="s">
        <v>51</v>
      </c>
    </row>
    <row r="5" spans="1:44" ht="13.8" customHeight="1" thickBot="1" x14ac:dyDescent="0.3">
      <c r="B5" s="129"/>
      <c r="C5" s="130"/>
      <c r="D5" s="129"/>
      <c r="E5" s="129"/>
      <c r="J5" s="2"/>
      <c r="K5" s="2"/>
      <c r="L5" s="15"/>
      <c r="M5" s="16">
        <f>SUM(M3:M4)</f>
        <v>50.400000000000006</v>
      </c>
      <c r="N5" s="4" t="s">
        <v>52</v>
      </c>
      <c r="O5" s="8">
        <f>O3+O4</f>
        <v>27.059760000000004</v>
      </c>
      <c r="P5" s="4"/>
      <c r="Q5" s="12" t="s">
        <v>53</v>
      </c>
      <c r="R5" s="13" t="s">
        <v>40</v>
      </c>
      <c r="S5" s="13" t="s">
        <v>39</v>
      </c>
      <c r="T5" s="13" t="s">
        <v>46</v>
      </c>
      <c r="U5" s="13" t="s">
        <v>40</v>
      </c>
      <c r="V5" s="13" t="s">
        <v>54</v>
      </c>
      <c r="W5" s="13" t="s">
        <v>55</v>
      </c>
      <c r="X5" s="13" t="s">
        <v>50</v>
      </c>
      <c r="Y5" s="13" t="s">
        <v>56</v>
      </c>
      <c r="Z5" s="13" t="s">
        <v>50</v>
      </c>
      <c r="AA5" s="13" t="s">
        <v>57</v>
      </c>
      <c r="AB5" s="13" t="s">
        <v>58</v>
      </c>
      <c r="AC5" s="13" t="s">
        <v>47</v>
      </c>
      <c r="AD5" s="13" t="s">
        <v>56</v>
      </c>
      <c r="AE5" s="13" t="s">
        <v>50</v>
      </c>
      <c r="AF5" s="13" t="s">
        <v>49</v>
      </c>
      <c r="AG5" s="13" t="s">
        <v>44</v>
      </c>
      <c r="AH5" s="13" t="s">
        <v>49</v>
      </c>
      <c r="AI5" s="13" t="s">
        <v>59</v>
      </c>
      <c r="AJ5" s="13" t="s">
        <v>50</v>
      </c>
      <c r="AK5" s="13" t="s">
        <v>49</v>
      </c>
      <c r="AL5" s="13" t="s">
        <v>47</v>
      </c>
      <c r="AM5" s="13" t="s">
        <v>41</v>
      </c>
      <c r="AN5" s="13" t="s">
        <v>60</v>
      </c>
      <c r="AO5" s="13" t="s">
        <v>58</v>
      </c>
      <c r="AP5" s="14" t="s">
        <v>46</v>
      </c>
      <c r="AQ5" s="13" t="s">
        <v>49</v>
      </c>
      <c r="AR5" s="13" t="s">
        <v>45</v>
      </c>
    </row>
    <row r="6" spans="1:44" ht="14.4" customHeight="1" thickBot="1" x14ac:dyDescent="0.35">
      <c r="A6" s="95"/>
      <c r="J6" s="152" t="s">
        <v>61</v>
      </c>
      <c r="K6" s="153"/>
      <c r="L6" s="17"/>
      <c r="M6" s="18"/>
      <c r="N6" s="3"/>
      <c r="O6" s="19" t="s">
        <v>62</v>
      </c>
      <c r="P6" s="4"/>
      <c r="Q6" s="12" t="s">
        <v>63</v>
      </c>
      <c r="R6" s="13" t="s">
        <v>41</v>
      </c>
      <c r="S6" s="13" t="s">
        <v>46</v>
      </c>
      <c r="T6" s="13" t="s">
        <v>59</v>
      </c>
      <c r="U6" s="13" t="s">
        <v>41</v>
      </c>
      <c r="V6" s="13" t="s">
        <v>46</v>
      </c>
      <c r="W6" s="13" t="s">
        <v>56</v>
      </c>
      <c r="X6" s="13" t="s">
        <v>50</v>
      </c>
      <c r="Y6" s="13" t="s">
        <v>47</v>
      </c>
      <c r="Z6" s="13" t="s">
        <v>50</v>
      </c>
      <c r="AA6" s="13" t="s">
        <v>42</v>
      </c>
      <c r="AB6" s="13" t="s">
        <v>58</v>
      </c>
      <c r="AC6" s="13" t="s">
        <v>41</v>
      </c>
      <c r="AD6" s="13" t="s">
        <v>58</v>
      </c>
      <c r="AE6" s="13" t="s">
        <v>42</v>
      </c>
      <c r="AF6" s="13" t="s">
        <v>46</v>
      </c>
      <c r="AG6" s="13" t="s">
        <v>47</v>
      </c>
      <c r="AH6" s="13" t="s">
        <v>46</v>
      </c>
      <c r="AI6" s="13" t="s">
        <v>42</v>
      </c>
      <c r="AJ6" s="13" t="s">
        <v>47</v>
      </c>
      <c r="AK6" s="13" t="s">
        <v>46</v>
      </c>
      <c r="AL6" s="13" t="s">
        <v>43</v>
      </c>
      <c r="AM6" s="13" t="s">
        <v>47</v>
      </c>
      <c r="AN6" s="13" t="s">
        <v>40</v>
      </c>
      <c r="AO6" s="13" t="s">
        <v>48</v>
      </c>
      <c r="AP6" s="14" t="s">
        <v>58</v>
      </c>
      <c r="AQ6" s="13" t="s">
        <v>46</v>
      </c>
      <c r="AR6" s="13" t="s">
        <v>64</v>
      </c>
    </row>
    <row r="7" spans="1:44" ht="16.2" customHeight="1" x14ac:dyDescent="0.3">
      <c r="A7" s="95"/>
      <c r="D7" s="132" t="s">
        <v>151</v>
      </c>
      <c r="J7" s="51" t="s">
        <v>65</v>
      </c>
      <c r="K7" s="52">
        <v>4500</v>
      </c>
      <c r="L7" s="20"/>
      <c r="M7" s="18"/>
      <c r="N7" s="3"/>
      <c r="O7" s="4"/>
      <c r="P7" s="4"/>
      <c r="Q7" s="12" t="s">
        <v>66</v>
      </c>
      <c r="R7" s="13" t="s">
        <v>42</v>
      </c>
      <c r="S7" s="13" t="s">
        <v>40</v>
      </c>
      <c r="T7" s="13" t="s">
        <v>41</v>
      </c>
      <c r="U7" s="13" t="s">
        <v>59</v>
      </c>
      <c r="V7" s="13" t="s">
        <v>40</v>
      </c>
      <c r="W7" s="13" t="s">
        <v>43</v>
      </c>
      <c r="X7" s="13" t="s">
        <v>58</v>
      </c>
      <c r="Y7" s="13" t="s">
        <v>43</v>
      </c>
      <c r="Z7" s="13" t="s">
        <v>58</v>
      </c>
      <c r="AA7" s="13" t="s">
        <v>43</v>
      </c>
      <c r="AB7" s="13" t="s">
        <v>44</v>
      </c>
      <c r="AC7" s="13" t="s">
        <v>58</v>
      </c>
      <c r="AD7" s="13" t="s">
        <v>48</v>
      </c>
      <c r="AE7" s="13" t="s">
        <v>48</v>
      </c>
      <c r="AF7" s="13" t="s">
        <v>40</v>
      </c>
      <c r="AG7" s="13" t="s">
        <v>41</v>
      </c>
      <c r="AH7" s="13" t="s">
        <v>40</v>
      </c>
      <c r="AI7" s="13" t="s">
        <v>48</v>
      </c>
      <c r="AJ7" s="13" t="s">
        <v>43</v>
      </c>
      <c r="AK7" s="13" t="s">
        <v>40</v>
      </c>
      <c r="AL7" s="13" t="s">
        <v>40</v>
      </c>
      <c r="AM7" s="13" t="s">
        <v>42</v>
      </c>
      <c r="AN7" s="13" t="s">
        <v>42</v>
      </c>
      <c r="AO7" s="13" t="s">
        <v>43</v>
      </c>
      <c r="AP7" s="14" t="s">
        <v>41</v>
      </c>
      <c r="AQ7" s="13" t="s">
        <v>60</v>
      </c>
      <c r="AR7" s="13" t="s">
        <v>58</v>
      </c>
    </row>
    <row r="8" spans="1:44" ht="13.8" x14ac:dyDescent="0.3">
      <c r="A8" s="95"/>
      <c r="J8" s="53" t="s">
        <v>67</v>
      </c>
      <c r="K8" s="54">
        <v>0</v>
      </c>
      <c r="L8" s="20"/>
      <c r="M8" s="21" t="s">
        <v>68</v>
      </c>
      <c r="N8" s="3"/>
      <c r="O8" s="22"/>
      <c r="P8" s="4"/>
      <c r="Q8" s="12" t="s">
        <v>69</v>
      </c>
      <c r="R8" s="13" t="s">
        <v>40</v>
      </c>
      <c r="S8" s="13" t="s">
        <v>54</v>
      </c>
      <c r="T8" s="13" t="s">
        <v>46</v>
      </c>
      <c r="U8" s="13" t="s">
        <v>40</v>
      </c>
      <c r="V8" s="13" t="s">
        <v>49</v>
      </c>
      <c r="W8" s="13" t="s">
        <v>59</v>
      </c>
      <c r="X8" s="13" t="s">
        <v>50</v>
      </c>
      <c r="Y8" s="13" t="s">
        <v>59</v>
      </c>
      <c r="Z8" s="13" t="s">
        <v>50</v>
      </c>
      <c r="AA8" s="13" t="s">
        <v>57</v>
      </c>
      <c r="AB8" s="13" t="s">
        <v>46</v>
      </c>
      <c r="AC8" s="13" t="s">
        <v>44</v>
      </c>
      <c r="AD8" s="13" t="s">
        <v>42</v>
      </c>
      <c r="AE8" s="13" t="s">
        <v>45</v>
      </c>
      <c r="AF8" s="13" t="s">
        <v>55</v>
      </c>
      <c r="AG8" s="13" t="s">
        <v>50</v>
      </c>
      <c r="AH8" s="13" t="s">
        <v>54</v>
      </c>
      <c r="AI8" s="13" t="s">
        <v>59</v>
      </c>
      <c r="AJ8" s="13" t="s">
        <v>57</v>
      </c>
      <c r="AK8" s="13" t="s">
        <v>59</v>
      </c>
      <c r="AL8" s="13" t="s">
        <v>44</v>
      </c>
      <c r="AM8" s="13" t="s">
        <v>41</v>
      </c>
      <c r="AN8" s="13" t="s">
        <v>60</v>
      </c>
      <c r="AO8" s="13" t="s">
        <v>46</v>
      </c>
      <c r="AP8" s="14" t="s">
        <v>45</v>
      </c>
      <c r="AQ8" s="13" t="s">
        <v>54</v>
      </c>
      <c r="AR8" s="13" t="s">
        <v>56</v>
      </c>
    </row>
    <row r="9" spans="1:44" x14ac:dyDescent="0.25">
      <c r="A9" s="1" t="s">
        <v>70</v>
      </c>
      <c r="C9" s="154">
        <f ca="1">TODAY()</f>
        <v>46213</v>
      </c>
      <c r="D9" s="154"/>
      <c r="E9" s="154"/>
      <c r="F9" s="154"/>
      <c r="G9" s="154"/>
      <c r="J9" s="53" t="s">
        <v>71</v>
      </c>
      <c r="K9" s="55">
        <v>0</v>
      </c>
      <c r="L9" s="23"/>
      <c r="M9" s="23">
        <f>SUM(K7:K12)</f>
        <v>4550.3999999999996</v>
      </c>
      <c r="N9" s="24"/>
      <c r="O9" s="4"/>
      <c r="P9" s="4"/>
      <c r="Q9" s="12" t="s">
        <v>72</v>
      </c>
      <c r="R9" s="13" t="s">
        <v>43</v>
      </c>
      <c r="S9" s="13" t="s">
        <v>55</v>
      </c>
      <c r="T9" s="13" t="s">
        <v>56</v>
      </c>
      <c r="U9" s="13" t="s">
        <v>43</v>
      </c>
      <c r="V9" s="13" t="s">
        <v>59</v>
      </c>
      <c r="W9" s="13" t="s">
        <v>39</v>
      </c>
      <c r="X9" s="13" t="s">
        <v>44</v>
      </c>
      <c r="Y9" s="13" t="s">
        <v>50</v>
      </c>
      <c r="Z9" s="13" t="s">
        <v>44</v>
      </c>
      <c r="AA9" s="13" t="s">
        <v>55</v>
      </c>
      <c r="AB9" s="13" t="s">
        <v>48</v>
      </c>
      <c r="AC9" s="13" t="s">
        <v>48</v>
      </c>
      <c r="AD9" s="13" t="s">
        <v>46</v>
      </c>
      <c r="AE9" s="13" t="s">
        <v>57</v>
      </c>
      <c r="AF9" s="13" t="s">
        <v>49</v>
      </c>
      <c r="AG9" s="13" t="s">
        <v>47</v>
      </c>
      <c r="AH9" s="13" t="s">
        <v>54</v>
      </c>
      <c r="AI9" s="13" t="s">
        <v>55</v>
      </c>
      <c r="AJ9" s="13" t="s">
        <v>44</v>
      </c>
      <c r="AK9" s="13" t="s">
        <v>49</v>
      </c>
      <c r="AL9" s="13" t="s">
        <v>41</v>
      </c>
      <c r="AM9" s="13" t="s">
        <v>41</v>
      </c>
      <c r="AN9" s="13" t="s">
        <v>60</v>
      </c>
      <c r="AO9" s="13" t="s">
        <v>48</v>
      </c>
      <c r="AP9" s="14" t="s">
        <v>58</v>
      </c>
      <c r="AQ9" s="13" t="s">
        <v>59</v>
      </c>
      <c r="AR9" s="13" t="s">
        <v>64</v>
      </c>
    </row>
    <row r="10" spans="1:44" ht="13.8" x14ac:dyDescent="0.3">
      <c r="A10" s="95"/>
      <c r="J10" s="53" t="s">
        <v>73</v>
      </c>
      <c r="K10" s="55">
        <v>0</v>
      </c>
      <c r="L10" s="25"/>
      <c r="M10" s="23"/>
      <c r="N10" s="26"/>
      <c r="O10" s="4"/>
      <c r="P10" s="4"/>
      <c r="Q10" s="12" t="s">
        <v>74</v>
      </c>
      <c r="R10" s="13" t="s">
        <v>44</v>
      </c>
      <c r="S10" s="13" t="s">
        <v>50</v>
      </c>
      <c r="T10" s="13" t="s">
        <v>50</v>
      </c>
      <c r="U10" s="13" t="s">
        <v>58</v>
      </c>
      <c r="V10" s="13" t="s">
        <v>50</v>
      </c>
      <c r="W10" s="13" t="s">
        <v>44</v>
      </c>
      <c r="X10" s="13" t="s">
        <v>75</v>
      </c>
      <c r="Y10" s="13" t="s">
        <v>42</v>
      </c>
      <c r="Z10" s="13" t="s">
        <v>49</v>
      </c>
      <c r="AA10" s="13" t="s">
        <v>46</v>
      </c>
      <c r="AB10" s="13" t="s">
        <v>55</v>
      </c>
      <c r="AC10" s="13" t="s">
        <v>59</v>
      </c>
      <c r="AD10" s="13" t="s">
        <v>54</v>
      </c>
      <c r="AE10" s="13" t="s">
        <v>45</v>
      </c>
      <c r="AF10" s="13" t="s">
        <v>46</v>
      </c>
      <c r="AG10" s="13" t="s">
        <v>42</v>
      </c>
      <c r="AH10" s="13" t="s">
        <v>46</v>
      </c>
      <c r="AI10" s="13" t="s">
        <v>44</v>
      </c>
      <c r="AJ10" s="13" t="s">
        <v>42</v>
      </c>
      <c r="AK10" s="13" t="s">
        <v>44</v>
      </c>
      <c r="AL10" s="13" t="s">
        <v>56</v>
      </c>
      <c r="AM10" s="13" t="s">
        <v>50</v>
      </c>
      <c r="AN10" s="13" t="s">
        <v>41</v>
      </c>
      <c r="AO10" s="13" t="s">
        <v>42</v>
      </c>
      <c r="AP10" s="14" t="s">
        <v>54</v>
      </c>
      <c r="AQ10" s="13" t="s">
        <v>45</v>
      </c>
      <c r="AR10" s="13" t="s">
        <v>55</v>
      </c>
    </row>
    <row r="11" spans="1:44" x14ac:dyDescent="0.25">
      <c r="A11" s="155" t="s">
        <v>154</v>
      </c>
      <c r="B11" s="155"/>
      <c r="C11" s="155"/>
      <c r="D11" s="155"/>
      <c r="E11" s="155"/>
      <c r="F11" s="155"/>
      <c r="G11" s="155"/>
      <c r="H11" s="155"/>
      <c r="I11" s="155"/>
      <c r="J11" s="53" t="s">
        <v>76</v>
      </c>
      <c r="K11" s="56">
        <v>0</v>
      </c>
      <c r="L11" s="25"/>
      <c r="M11" s="2"/>
      <c r="O11" s="4"/>
      <c r="P11" s="4"/>
      <c r="Q11" s="12" t="s">
        <v>77</v>
      </c>
      <c r="R11" s="13" t="s">
        <v>41</v>
      </c>
      <c r="S11" s="13" t="s">
        <v>56</v>
      </c>
      <c r="T11" s="13" t="s">
        <v>47</v>
      </c>
      <c r="U11" s="13" t="s">
        <v>43</v>
      </c>
      <c r="V11" s="13" t="s">
        <v>59</v>
      </c>
      <c r="W11" s="13" t="s">
        <v>50</v>
      </c>
      <c r="X11" s="13" t="s">
        <v>42</v>
      </c>
      <c r="Y11" s="13" t="s">
        <v>75</v>
      </c>
      <c r="Z11" s="13" t="s">
        <v>42</v>
      </c>
      <c r="AA11" s="13" t="s">
        <v>46</v>
      </c>
      <c r="AB11" s="13" t="s">
        <v>50</v>
      </c>
      <c r="AC11" s="13" t="s">
        <v>45</v>
      </c>
      <c r="AD11" s="13" t="s">
        <v>49</v>
      </c>
      <c r="AE11" s="13" t="s">
        <v>58</v>
      </c>
      <c r="AF11" s="13" t="s">
        <v>45</v>
      </c>
      <c r="AG11" s="13" t="s">
        <v>42</v>
      </c>
      <c r="AH11" s="13" t="s">
        <v>45</v>
      </c>
      <c r="AI11" s="13" t="s">
        <v>50</v>
      </c>
      <c r="AJ11" s="13" t="s">
        <v>39</v>
      </c>
      <c r="AK11" s="13" t="s">
        <v>50</v>
      </c>
      <c r="AL11" s="13" t="s">
        <v>45</v>
      </c>
      <c r="AM11" s="13" t="s">
        <v>47</v>
      </c>
      <c r="AN11" s="13" t="s">
        <v>60</v>
      </c>
      <c r="AO11" s="13" t="s">
        <v>57</v>
      </c>
      <c r="AP11" s="14" t="s">
        <v>55</v>
      </c>
      <c r="AQ11" s="13" t="s">
        <v>42</v>
      </c>
      <c r="AR11" s="13" t="s">
        <v>50</v>
      </c>
    </row>
    <row r="12" spans="1:44" ht="13.8" thickBot="1" x14ac:dyDescent="0.3">
      <c r="A12" s="27" t="s">
        <v>78</v>
      </c>
      <c r="B12" s="28"/>
      <c r="J12" s="59" t="s">
        <v>79</v>
      </c>
      <c r="K12" s="70">
        <f>M5</f>
        <v>50.400000000000006</v>
      </c>
      <c r="L12" s="123"/>
      <c r="M12" s="29"/>
      <c r="N12" s="4"/>
      <c r="O12" s="4"/>
      <c r="P12" s="4"/>
      <c r="Q12" s="12" t="s">
        <v>80</v>
      </c>
      <c r="R12" s="13" t="s">
        <v>44</v>
      </c>
      <c r="S12" s="13" t="s">
        <v>50</v>
      </c>
      <c r="T12" s="13" t="s">
        <v>50</v>
      </c>
      <c r="U12" s="13" t="s">
        <v>58</v>
      </c>
      <c r="V12" s="13" t="s">
        <v>50</v>
      </c>
      <c r="W12" s="13" t="s">
        <v>44</v>
      </c>
      <c r="X12" s="13" t="s">
        <v>49</v>
      </c>
      <c r="Y12" s="13" t="s">
        <v>42</v>
      </c>
      <c r="Z12" s="13" t="s">
        <v>49</v>
      </c>
      <c r="AA12" s="13" t="s">
        <v>46</v>
      </c>
      <c r="AB12" s="13" t="s">
        <v>55</v>
      </c>
      <c r="AC12" s="13" t="s">
        <v>59</v>
      </c>
      <c r="AD12" s="13" t="s">
        <v>54</v>
      </c>
      <c r="AE12" s="13" t="s">
        <v>45</v>
      </c>
      <c r="AF12" s="13" t="s">
        <v>46</v>
      </c>
      <c r="AG12" s="13" t="s">
        <v>42</v>
      </c>
      <c r="AH12" s="13" t="s">
        <v>46</v>
      </c>
      <c r="AI12" s="13" t="s">
        <v>44</v>
      </c>
      <c r="AJ12" s="13" t="s">
        <v>42</v>
      </c>
      <c r="AK12" s="13" t="s">
        <v>44</v>
      </c>
      <c r="AL12" s="13" t="s">
        <v>56</v>
      </c>
      <c r="AM12" s="13" t="s">
        <v>50</v>
      </c>
      <c r="AN12" s="13" t="s">
        <v>41</v>
      </c>
      <c r="AO12" s="13" t="s">
        <v>42</v>
      </c>
      <c r="AP12" s="14" t="s">
        <v>54</v>
      </c>
      <c r="AQ12" s="13" t="s">
        <v>45</v>
      </c>
      <c r="AR12" s="13" t="s">
        <v>59</v>
      </c>
    </row>
    <row r="13" spans="1:44" ht="15" customHeight="1" x14ac:dyDescent="0.25">
      <c r="J13" s="51" t="s">
        <v>82</v>
      </c>
      <c r="K13" s="73">
        <f>(M22+M5)*0.12</f>
        <v>546.04799999999989</v>
      </c>
      <c r="L13" s="157"/>
      <c r="M13" s="158"/>
      <c r="N13" s="26"/>
      <c r="O13" s="4"/>
      <c r="P13" s="4"/>
      <c r="Q13" s="12" t="s">
        <v>83</v>
      </c>
      <c r="R13" s="13" t="s">
        <v>43</v>
      </c>
      <c r="S13" s="13" t="s">
        <v>57</v>
      </c>
      <c r="T13" s="13" t="s">
        <v>42</v>
      </c>
      <c r="U13" s="13" t="s">
        <v>43</v>
      </c>
      <c r="V13" s="13" t="s">
        <v>57</v>
      </c>
      <c r="W13" s="13" t="s">
        <v>55</v>
      </c>
      <c r="X13" s="13" t="s">
        <v>46</v>
      </c>
      <c r="Y13" s="13" t="s">
        <v>46</v>
      </c>
      <c r="Z13" s="13" t="s">
        <v>46</v>
      </c>
      <c r="AA13" s="13" t="s">
        <v>54</v>
      </c>
      <c r="AB13" s="13" t="s">
        <v>58</v>
      </c>
      <c r="AC13" s="13" t="s">
        <v>48</v>
      </c>
      <c r="AD13" s="13" t="s">
        <v>46</v>
      </c>
      <c r="AE13" s="13" t="s">
        <v>42</v>
      </c>
      <c r="AF13" s="13" t="s">
        <v>56</v>
      </c>
      <c r="AG13" s="13" t="s">
        <v>48</v>
      </c>
      <c r="AH13" s="13" t="s">
        <v>57</v>
      </c>
      <c r="AI13" s="13" t="s">
        <v>55</v>
      </c>
      <c r="AJ13" s="13" t="s">
        <v>58</v>
      </c>
      <c r="AK13" s="13" t="s">
        <v>57</v>
      </c>
      <c r="AL13" s="13" t="s">
        <v>43</v>
      </c>
      <c r="AM13" s="13" t="s">
        <v>48</v>
      </c>
      <c r="AN13" s="13" t="s">
        <v>60</v>
      </c>
      <c r="AO13" s="13" t="s">
        <v>41</v>
      </c>
      <c r="AP13" s="14" t="s">
        <v>58</v>
      </c>
      <c r="AQ13" s="13" t="s">
        <v>56</v>
      </c>
      <c r="AR13" s="13" t="s">
        <v>56</v>
      </c>
    </row>
    <row r="14" spans="1:44" ht="15" customHeight="1" thickBot="1" x14ac:dyDescent="0.3">
      <c r="A14" s="1" t="s">
        <v>84</v>
      </c>
      <c r="J14" s="57" t="s">
        <v>85</v>
      </c>
      <c r="K14" s="58">
        <f>(M22+K10+K11+M5)*0.12</f>
        <v>546.04799999999989</v>
      </c>
      <c r="L14" s="159"/>
      <c r="M14" s="160"/>
      <c r="N14" s="30"/>
      <c r="O14" s="4"/>
      <c r="P14" s="4"/>
      <c r="Q14" s="12" t="s">
        <v>86</v>
      </c>
      <c r="R14" s="13" t="s">
        <v>45</v>
      </c>
      <c r="S14" s="13" t="s">
        <v>58</v>
      </c>
      <c r="T14" s="13" t="s">
        <v>58</v>
      </c>
      <c r="U14" s="13" t="s">
        <v>44</v>
      </c>
      <c r="V14" s="13" t="s">
        <v>46</v>
      </c>
      <c r="W14" s="13" t="s">
        <v>48</v>
      </c>
      <c r="X14" s="13" t="s">
        <v>55</v>
      </c>
      <c r="Y14" s="13" t="s">
        <v>50</v>
      </c>
      <c r="Z14" s="13" t="s">
        <v>55</v>
      </c>
      <c r="AA14" s="13" t="s">
        <v>58</v>
      </c>
      <c r="AB14" s="13" t="s">
        <v>54</v>
      </c>
      <c r="AC14" s="13" t="s">
        <v>55</v>
      </c>
      <c r="AD14" s="13" t="s">
        <v>57</v>
      </c>
      <c r="AE14" s="13" t="s">
        <v>50</v>
      </c>
      <c r="AF14" s="13" t="s">
        <v>47</v>
      </c>
      <c r="AG14" s="13" t="s">
        <v>56</v>
      </c>
      <c r="AH14" s="13" t="s">
        <v>47</v>
      </c>
      <c r="AI14" s="13" t="s">
        <v>44</v>
      </c>
      <c r="AJ14" s="13" t="s">
        <v>50</v>
      </c>
      <c r="AK14" s="13" t="s">
        <v>48</v>
      </c>
      <c r="AL14" s="13" t="s">
        <v>46</v>
      </c>
      <c r="AM14" s="13" t="s">
        <v>42</v>
      </c>
      <c r="AN14" s="13" t="s">
        <v>48</v>
      </c>
      <c r="AO14" s="13" t="s">
        <v>45</v>
      </c>
      <c r="AP14" s="14" t="s">
        <v>56</v>
      </c>
      <c r="AQ14" s="13" t="s">
        <v>44</v>
      </c>
      <c r="AR14" s="13" t="s">
        <v>57</v>
      </c>
    </row>
    <row r="15" spans="1:44" ht="13.5" customHeight="1" thickBot="1" x14ac:dyDescent="0.3">
      <c r="J15" s="71"/>
      <c r="K15" s="72"/>
      <c r="L15" s="68"/>
      <c r="M15" s="31"/>
      <c r="N15" s="31"/>
      <c r="O15" s="4"/>
      <c r="P15" s="4"/>
      <c r="Q15" s="12" t="s">
        <v>87</v>
      </c>
      <c r="R15" s="13" t="s">
        <v>46</v>
      </c>
      <c r="S15" s="13" t="s">
        <v>47</v>
      </c>
      <c r="T15" s="13" t="s">
        <v>41</v>
      </c>
      <c r="U15" s="13" t="s">
        <v>58</v>
      </c>
      <c r="V15" s="13" t="s">
        <v>44</v>
      </c>
      <c r="W15" s="13" t="s">
        <v>48</v>
      </c>
      <c r="X15" s="13" t="s">
        <v>59</v>
      </c>
      <c r="Y15" s="13" t="s">
        <v>45</v>
      </c>
      <c r="Z15" s="13" t="s">
        <v>59</v>
      </c>
      <c r="AA15" s="13" t="s">
        <v>48</v>
      </c>
      <c r="AB15" s="13" t="s">
        <v>55</v>
      </c>
      <c r="AC15" s="13" t="s">
        <v>49</v>
      </c>
      <c r="AD15" s="13" t="s">
        <v>42</v>
      </c>
      <c r="AE15" s="13" t="s">
        <v>44</v>
      </c>
      <c r="AF15" s="13" t="s">
        <v>48</v>
      </c>
      <c r="AG15" s="13" t="s">
        <v>55</v>
      </c>
      <c r="AH15" s="13" t="s">
        <v>48</v>
      </c>
      <c r="AI15" s="13" t="s">
        <v>58</v>
      </c>
      <c r="AJ15" s="13" t="s">
        <v>42</v>
      </c>
      <c r="AK15" s="13" t="s">
        <v>41</v>
      </c>
      <c r="AL15" s="13" t="s">
        <v>56</v>
      </c>
      <c r="AM15" s="13" t="s">
        <v>50</v>
      </c>
      <c r="AN15" s="13" t="s">
        <v>41</v>
      </c>
      <c r="AO15" s="13" t="s">
        <v>42</v>
      </c>
      <c r="AP15" s="14" t="s">
        <v>55</v>
      </c>
      <c r="AQ15" s="13" t="s">
        <v>58</v>
      </c>
      <c r="AR15" s="13" t="s">
        <v>50</v>
      </c>
    </row>
    <row r="16" spans="1:44" ht="15" customHeight="1" thickBot="1" x14ac:dyDescent="0.3">
      <c r="A16" s="32" t="s">
        <v>2</v>
      </c>
      <c r="B16" s="161" t="s">
        <v>174</v>
      </c>
      <c r="C16" s="162"/>
      <c r="D16" s="162"/>
      <c r="E16" s="162"/>
      <c r="F16" s="162" t="s">
        <v>89</v>
      </c>
      <c r="G16" s="163"/>
      <c r="H16" s="161" t="s">
        <v>90</v>
      </c>
      <c r="I16" s="164"/>
      <c r="J16" s="60"/>
      <c r="K16" s="61"/>
      <c r="L16" s="62"/>
      <c r="M16" s="33"/>
      <c r="N16" s="34"/>
      <c r="O16" s="4"/>
      <c r="P16" s="4"/>
      <c r="Q16" s="12" t="s">
        <v>91</v>
      </c>
      <c r="R16" s="13" t="s">
        <v>47</v>
      </c>
      <c r="S16" s="13" t="s">
        <v>56</v>
      </c>
      <c r="T16" s="13" t="s">
        <v>58</v>
      </c>
      <c r="U16" s="13" t="s">
        <v>48</v>
      </c>
      <c r="V16" s="13" t="s">
        <v>42</v>
      </c>
      <c r="W16" s="13" t="s">
        <v>46</v>
      </c>
      <c r="X16" s="13" t="s">
        <v>54</v>
      </c>
      <c r="Y16" s="13" t="s">
        <v>49</v>
      </c>
      <c r="Z16" s="13" t="s">
        <v>54</v>
      </c>
      <c r="AA16" s="13" t="s">
        <v>46</v>
      </c>
      <c r="AB16" s="13" t="s">
        <v>92</v>
      </c>
      <c r="AC16" s="13" t="s">
        <v>42</v>
      </c>
      <c r="AD16" s="13" t="s">
        <v>39</v>
      </c>
      <c r="AE16" s="13" t="s">
        <v>44</v>
      </c>
      <c r="AF16" s="13" t="s">
        <v>50</v>
      </c>
      <c r="AG16" s="13" t="s">
        <v>55</v>
      </c>
      <c r="AH16" s="13" t="s">
        <v>50</v>
      </c>
      <c r="AI16" s="13" t="s">
        <v>50</v>
      </c>
      <c r="AJ16" s="13" t="s">
        <v>49</v>
      </c>
      <c r="AK16" s="13" t="s">
        <v>50</v>
      </c>
      <c r="AL16" s="13" t="s">
        <v>57</v>
      </c>
      <c r="AM16" s="13" t="s">
        <v>58</v>
      </c>
      <c r="AN16" s="13" t="s">
        <v>40</v>
      </c>
      <c r="AO16" s="13" t="s">
        <v>59</v>
      </c>
      <c r="AP16" s="14" t="s">
        <v>49</v>
      </c>
      <c r="AQ16" s="13" t="s">
        <v>57</v>
      </c>
      <c r="AR16" s="13" t="s">
        <v>64</v>
      </c>
    </row>
    <row r="17" spans="1:44" ht="14.25" customHeight="1" x14ac:dyDescent="0.25">
      <c r="A17" s="165">
        <v>1</v>
      </c>
      <c r="B17" s="167" t="s">
        <v>258</v>
      </c>
      <c r="C17" s="168"/>
      <c r="D17" s="168"/>
      <c r="E17" s="169"/>
      <c r="F17" s="173">
        <f>96000+30000</f>
        <v>126000</v>
      </c>
      <c r="G17" s="174"/>
      <c r="H17" s="177" t="s">
        <v>93</v>
      </c>
      <c r="I17" s="178"/>
      <c r="J17" s="60"/>
      <c r="K17" s="42"/>
      <c r="L17" s="34"/>
      <c r="M17" s="31"/>
      <c r="N17" s="3"/>
      <c r="O17" s="4"/>
      <c r="P17" s="4"/>
      <c r="Q17" s="12" t="s">
        <v>94</v>
      </c>
      <c r="R17" s="13" t="s">
        <v>48</v>
      </c>
      <c r="S17" s="13" t="s">
        <v>50</v>
      </c>
      <c r="T17" s="13" t="s">
        <v>42</v>
      </c>
      <c r="U17" s="13" t="s">
        <v>48</v>
      </c>
      <c r="V17" s="13" t="s">
        <v>45</v>
      </c>
      <c r="W17" s="13" t="s">
        <v>57</v>
      </c>
      <c r="X17" s="13" t="s">
        <v>45</v>
      </c>
      <c r="Y17" s="13" t="s">
        <v>58</v>
      </c>
      <c r="Z17" s="13" t="s">
        <v>45</v>
      </c>
      <c r="AA17" s="13" t="s">
        <v>42</v>
      </c>
      <c r="AB17" s="13" t="s">
        <v>95</v>
      </c>
      <c r="AC17" s="13" t="s">
        <v>44</v>
      </c>
      <c r="AD17" s="13" t="s">
        <v>44</v>
      </c>
      <c r="AE17" s="13" t="s">
        <v>59</v>
      </c>
      <c r="AF17" s="13" t="s">
        <v>50</v>
      </c>
      <c r="AG17" s="13" t="s">
        <v>58</v>
      </c>
      <c r="AH17" s="13" t="s">
        <v>45</v>
      </c>
      <c r="AI17" s="13" t="s">
        <v>42</v>
      </c>
      <c r="AJ17" s="13" t="s">
        <v>58</v>
      </c>
      <c r="AK17" s="13" t="s">
        <v>45</v>
      </c>
      <c r="AL17" s="13" t="s">
        <v>41</v>
      </c>
      <c r="AM17" s="13" t="s">
        <v>58</v>
      </c>
      <c r="AN17" s="13" t="s">
        <v>43</v>
      </c>
      <c r="AO17" s="13" t="s">
        <v>47</v>
      </c>
      <c r="AP17" s="14" t="s">
        <v>44</v>
      </c>
      <c r="AQ17" s="13" t="s">
        <v>50</v>
      </c>
      <c r="AR17" s="13" t="s">
        <v>45</v>
      </c>
    </row>
    <row r="18" spans="1:44" ht="43.8" customHeight="1" thickBot="1" x14ac:dyDescent="0.3">
      <c r="A18" s="166"/>
      <c r="B18" s="170"/>
      <c r="C18" s="171"/>
      <c r="D18" s="171"/>
      <c r="E18" s="172"/>
      <c r="F18" s="175"/>
      <c r="G18" s="176"/>
      <c r="H18" s="179"/>
      <c r="I18" s="180"/>
      <c r="J18" s="60"/>
      <c r="K18" s="42"/>
      <c r="L18" s="34"/>
      <c r="M18" s="31"/>
      <c r="N18" s="3"/>
      <c r="O18" s="4"/>
      <c r="P18" s="4"/>
      <c r="Q18" s="12" t="s">
        <v>94</v>
      </c>
      <c r="R18" s="13" t="s">
        <v>48</v>
      </c>
      <c r="S18" s="13" t="s">
        <v>50</v>
      </c>
      <c r="T18" s="13" t="s">
        <v>42</v>
      </c>
      <c r="U18" s="13" t="s">
        <v>48</v>
      </c>
      <c r="V18" s="13" t="s">
        <v>45</v>
      </c>
      <c r="W18" s="13" t="s">
        <v>57</v>
      </c>
      <c r="X18" s="13" t="s">
        <v>45</v>
      </c>
      <c r="Y18" s="13" t="s">
        <v>58</v>
      </c>
      <c r="Z18" s="13" t="s">
        <v>45</v>
      </c>
      <c r="AA18" s="13" t="s">
        <v>42</v>
      </c>
      <c r="AB18" s="13" t="s">
        <v>95</v>
      </c>
      <c r="AC18" s="13" t="s">
        <v>44</v>
      </c>
      <c r="AD18" s="13" t="s">
        <v>44</v>
      </c>
      <c r="AE18" s="13" t="s">
        <v>59</v>
      </c>
      <c r="AF18" s="13" t="s">
        <v>50</v>
      </c>
      <c r="AG18" s="13" t="s">
        <v>58</v>
      </c>
      <c r="AH18" s="13" t="s">
        <v>45</v>
      </c>
      <c r="AI18" s="13" t="s">
        <v>42</v>
      </c>
      <c r="AJ18" s="13" t="s">
        <v>58</v>
      </c>
      <c r="AK18" s="13" t="s">
        <v>45</v>
      </c>
      <c r="AL18" s="13" t="s">
        <v>41</v>
      </c>
      <c r="AM18" s="13" t="s">
        <v>58</v>
      </c>
      <c r="AN18" s="13" t="s">
        <v>43</v>
      </c>
      <c r="AO18" s="13" t="s">
        <v>47</v>
      </c>
      <c r="AP18" s="14" t="s">
        <v>44</v>
      </c>
      <c r="AQ18" s="13" t="s">
        <v>50</v>
      </c>
      <c r="AR18" s="13" t="s">
        <v>45</v>
      </c>
    </row>
    <row r="19" spans="1:44" x14ac:dyDescent="0.25">
      <c r="A19" s="183"/>
      <c r="B19" s="183"/>
      <c r="C19" s="183"/>
      <c r="D19" s="183"/>
      <c r="E19" s="183"/>
      <c r="F19" s="183"/>
      <c r="G19" s="183"/>
      <c r="H19" s="183"/>
      <c r="I19" s="183"/>
      <c r="J19" s="60"/>
      <c r="K19" s="42"/>
      <c r="L19" s="34"/>
      <c r="M19" s="31"/>
      <c r="N19" s="3"/>
      <c r="O19" s="4"/>
      <c r="P19" s="4"/>
      <c r="Q19" s="12" t="s">
        <v>96</v>
      </c>
      <c r="R19" s="13" t="s">
        <v>40</v>
      </c>
      <c r="S19" s="13" t="s">
        <v>49</v>
      </c>
      <c r="T19" s="13" t="s">
        <v>46</v>
      </c>
      <c r="U19" s="13" t="s">
        <v>40</v>
      </c>
      <c r="V19" s="13" t="s">
        <v>55</v>
      </c>
      <c r="W19" s="13" t="s">
        <v>49</v>
      </c>
      <c r="X19" s="13" t="s">
        <v>46</v>
      </c>
      <c r="Y19" s="13" t="s">
        <v>45</v>
      </c>
      <c r="Z19" s="13" t="s">
        <v>46</v>
      </c>
      <c r="AA19" s="13" t="s">
        <v>56</v>
      </c>
      <c r="AB19" s="13" t="s">
        <v>97</v>
      </c>
      <c r="AC19" s="13" t="s">
        <v>48</v>
      </c>
      <c r="AD19" s="13" t="s">
        <v>50</v>
      </c>
      <c r="AE19" s="13" t="s">
        <v>50</v>
      </c>
      <c r="AF19" s="13" t="s">
        <v>39</v>
      </c>
      <c r="AG19" s="13" t="s">
        <v>58</v>
      </c>
      <c r="AH19" s="13" t="s">
        <v>49</v>
      </c>
      <c r="AI19" s="13" t="s">
        <v>59</v>
      </c>
      <c r="AJ19" s="13" t="s">
        <v>46</v>
      </c>
      <c r="AK19" s="13" t="s">
        <v>49</v>
      </c>
      <c r="AL19" s="13" t="s">
        <v>48</v>
      </c>
      <c r="AM19" s="13" t="s">
        <v>43</v>
      </c>
      <c r="AN19" s="13" t="s">
        <v>60</v>
      </c>
      <c r="AO19" s="13" t="s">
        <v>47</v>
      </c>
      <c r="AP19" s="14" t="s">
        <v>44</v>
      </c>
      <c r="AQ19" s="13" t="s">
        <v>49</v>
      </c>
      <c r="AR19" s="13" t="s">
        <v>64</v>
      </c>
    </row>
    <row r="20" spans="1:44" ht="13.5" customHeight="1" thickBot="1" x14ac:dyDescent="0.3">
      <c r="A20" s="181" t="s">
        <v>98</v>
      </c>
      <c r="B20" s="181"/>
      <c r="C20" s="181"/>
      <c r="D20" s="181"/>
      <c r="E20" s="181"/>
      <c r="F20" s="181"/>
      <c r="G20" s="181"/>
      <c r="H20" s="181"/>
      <c r="I20" s="181"/>
      <c r="J20" s="60"/>
      <c r="K20" s="63"/>
      <c r="L20" s="64"/>
      <c r="M20" s="35"/>
      <c r="N20" s="3"/>
      <c r="O20" s="4"/>
      <c r="P20" s="4"/>
      <c r="Q20" s="12" t="s">
        <v>99</v>
      </c>
      <c r="R20" s="13" t="s">
        <v>48</v>
      </c>
      <c r="S20" s="13" t="s">
        <v>44</v>
      </c>
      <c r="T20" s="13" t="s">
        <v>47</v>
      </c>
      <c r="U20" s="13" t="s">
        <v>41</v>
      </c>
      <c r="V20" s="13" t="s">
        <v>50</v>
      </c>
      <c r="W20" s="13" t="s">
        <v>47</v>
      </c>
      <c r="X20" s="13" t="s">
        <v>42</v>
      </c>
      <c r="Y20" s="13" t="s">
        <v>42</v>
      </c>
      <c r="Z20" s="13" t="s">
        <v>42</v>
      </c>
      <c r="AA20" s="13" t="s">
        <v>48</v>
      </c>
      <c r="AB20" s="13" t="s">
        <v>100</v>
      </c>
      <c r="AC20" s="13" t="s">
        <v>55</v>
      </c>
      <c r="AD20" s="13" t="s">
        <v>55</v>
      </c>
      <c r="AE20" s="13" t="s">
        <v>58</v>
      </c>
      <c r="AF20" s="13" t="s">
        <v>58</v>
      </c>
      <c r="AG20" s="13" t="s">
        <v>75</v>
      </c>
      <c r="AH20" s="13" t="s">
        <v>58</v>
      </c>
      <c r="AI20" s="13" t="s">
        <v>58</v>
      </c>
      <c r="AJ20" s="13" t="s">
        <v>54</v>
      </c>
      <c r="AK20" s="13" t="s">
        <v>47</v>
      </c>
      <c r="AL20" s="13" t="s">
        <v>54</v>
      </c>
      <c r="AM20" s="13" t="s">
        <v>58</v>
      </c>
      <c r="AN20" s="13" t="s">
        <v>40</v>
      </c>
      <c r="AO20" s="13" t="s">
        <v>39</v>
      </c>
      <c r="AP20" s="14" t="s">
        <v>39</v>
      </c>
      <c r="AQ20" s="13" t="s">
        <v>46</v>
      </c>
      <c r="AR20" s="13" t="s">
        <v>44</v>
      </c>
    </row>
    <row r="21" spans="1:44" ht="13.5" customHeight="1" thickBot="1" x14ac:dyDescent="0.3">
      <c r="A21" s="151" t="s">
        <v>101</v>
      </c>
      <c r="B21" s="151"/>
      <c r="C21" s="151"/>
      <c r="D21" s="151"/>
      <c r="E21" s="151"/>
      <c r="F21" s="151"/>
      <c r="G21" s="151"/>
      <c r="H21" s="151"/>
      <c r="I21" s="151"/>
      <c r="J21" s="60"/>
      <c r="K21" s="63"/>
      <c r="L21" s="64"/>
      <c r="M21" s="22"/>
      <c r="N21" s="36" t="s">
        <v>102</v>
      </c>
      <c r="O21" s="4"/>
      <c r="P21" s="4"/>
      <c r="Q21" s="12" t="s">
        <v>103</v>
      </c>
      <c r="R21" s="13" t="s">
        <v>40</v>
      </c>
      <c r="S21" s="13" t="s">
        <v>49</v>
      </c>
      <c r="T21" s="13" t="s">
        <v>46</v>
      </c>
      <c r="U21" s="13" t="s">
        <v>40</v>
      </c>
      <c r="V21" s="13" t="s">
        <v>54</v>
      </c>
      <c r="W21" s="13" t="s">
        <v>54</v>
      </c>
      <c r="X21" s="13" t="s">
        <v>46</v>
      </c>
      <c r="Y21" s="13" t="s">
        <v>45</v>
      </c>
      <c r="Z21" s="13" t="s">
        <v>46</v>
      </c>
      <c r="AA21" s="13" t="s">
        <v>57</v>
      </c>
      <c r="AB21" s="13" t="s">
        <v>97</v>
      </c>
      <c r="AC21" s="13" t="s">
        <v>48</v>
      </c>
      <c r="AD21" s="13" t="s">
        <v>50</v>
      </c>
      <c r="AE21" s="13" t="s">
        <v>45</v>
      </c>
      <c r="AF21" s="13" t="s">
        <v>49</v>
      </c>
      <c r="AG21" s="13" t="s">
        <v>58</v>
      </c>
      <c r="AH21" s="13" t="s">
        <v>39</v>
      </c>
      <c r="AI21" s="13" t="s">
        <v>59</v>
      </c>
      <c r="AJ21" s="13" t="s">
        <v>46</v>
      </c>
      <c r="AK21" s="13" t="s">
        <v>49</v>
      </c>
      <c r="AL21" s="13" t="s">
        <v>48</v>
      </c>
      <c r="AM21" s="13" t="s">
        <v>41</v>
      </c>
      <c r="AN21" s="13" t="s">
        <v>60</v>
      </c>
      <c r="AO21" s="13" t="s">
        <v>48</v>
      </c>
      <c r="AP21" s="14" t="s">
        <v>46</v>
      </c>
      <c r="AQ21" s="13" t="s">
        <v>49</v>
      </c>
      <c r="AR21" s="13" t="s">
        <v>45</v>
      </c>
    </row>
    <row r="22" spans="1:44" ht="15" customHeight="1" thickBot="1" x14ac:dyDescent="0.3">
      <c r="A22" s="32" t="s">
        <v>2</v>
      </c>
      <c r="B22" s="161" t="s">
        <v>104</v>
      </c>
      <c r="C22" s="162"/>
      <c r="D22" s="163"/>
      <c r="E22" s="161" t="s">
        <v>105</v>
      </c>
      <c r="F22" s="162"/>
      <c r="G22" s="163"/>
      <c r="H22" s="161" t="s">
        <v>106</v>
      </c>
      <c r="I22" s="164"/>
      <c r="J22" s="75" t="s">
        <v>107</v>
      </c>
      <c r="K22" s="184" t="s">
        <v>108</v>
      </c>
      <c r="L22" s="184"/>
      <c r="M22" s="65">
        <f>K7+K8+K9+N22</f>
        <v>4500</v>
      </c>
      <c r="N22" s="37">
        <v>0</v>
      </c>
      <c r="O22" s="4"/>
      <c r="P22" s="4"/>
      <c r="Q22" s="12" t="s">
        <v>109</v>
      </c>
      <c r="R22" s="13" t="s">
        <v>41</v>
      </c>
      <c r="S22" s="13" t="s">
        <v>59</v>
      </c>
      <c r="T22" s="13" t="s">
        <v>42</v>
      </c>
      <c r="U22" s="13" t="s">
        <v>48</v>
      </c>
      <c r="V22" s="13" t="s">
        <v>59</v>
      </c>
      <c r="W22" s="13" t="s">
        <v>55</v>
      </c>
      <c r="X22" s="13" t="s">
        <v>44</v>
      </c>
      <c r="Y22" s="13" t="s">
        <v>50</v>
      </c>
      <c r="Z22" s="13" t="s">
        <v>44</v>
      </c>
      <c r="AA22" s="13" t="s">
        <v>55</v>
      </c>
      <c r="AB22" s="13" t="s">
        <v>110</v>
      </c>
      <c r="AC22" s="13" t="s">
        <v>58</v>
      </c>
      <c r="AD22" s="13" t="s">
        <v>50</v>
      </c>
      <c r="AE22" s="13" t="s">
        <v>42</v>
      </c>
      <c r="AF22" s="13" t="s">
        <v>59</v>
      </c>
      <c r="AG22" s="13" t="s">
        <v>58</v>
      </c>
      <c r="AH22" s="13" t="s">
        <v>59</v>
      </c>
      <c r="AI22" s="13" t="s">
        <v>54</v>
      </c>
      <c r="AJ22" s="13" t="s">
        <v>46</v>
      </c>
      <c r="AK22" s="13" t="s">
        <v>59</v>
      </c>
      <c r="AL22" s="13" t="s">
        <v>48</v>
      </c>
      <c r="AM22" s="13" t="s">
        <v>47</v>
      </c>
      <c r="AN22" s="13" t="s">
        <v>40</v>
      </c>
      <c r="AO22" s="13" t="s">
        <v>47</v>
      </c>
      <c r="AP22" s="14" t="s">
        <v>44</v>
      </c>
      <c r="AQ22" s="13" t="s">
        <v>42</v>
      </c>
      <c r="AR22" s="13" t="s">
        <v>57</v>
      </c>
    </row>
    <row r="23" spans="1:44" ht="13.5" customHeight="1" x14ac:dyDescent="0.3">
      <c r="A23" s="165">
        <v>1</v>
      </c>
      <c r="B23" s="185" t="s">
        <v>259</v>
      </c>
      <c r="C23" s="186"/>
      <c r="D23" s="187"/>
      <c r="E23" s="185" t="s">
        <v>260</v>
      </c>
      <c r="F23" s="186"/>
      <c r="G23" s="187"/>
      <c r="H23" s="191" t="s">
        <v>261</v>
      </c>
      <c r="I23" s="192"/>
      <c r="K23" s="195"/>
      <c r="L23" s="195"/>
      <c r="M23" s="22"/>
      <c r="N23"/>
      <c r="O23" s="4"/>
      <c r="P23" s="4"/>
      <c r="Q23" s="12" t="s">
        <v>111</v>
      </c>
      <c r="R23" s="13" t="s">
        <v>41</v>
      </c>
      <c r="S23" s="13" t="s">
        <v>50</v>
      </c>
      <c r="T23" s="13" t="s">
        <v>47</v>
      </c>
      <c r="U23" s="13" t="s">
        <v>43</v>
      </c>
      <c r="V23" s="13" t="s">
        <v>57</v>
      </c>
      <c r="W23" s="13" t="s">
        <v>44</v>
      </c>
      <c r="X23" s="13" t="s">
        <v>42</v>
      </c>
      <c r="Y23" s="13" t="s">
        <v>39</v>
      </c>
      <c r="Z23" s="13" t="s">
        <v>42</v>
      </c>
      <c r="AA23" s="13" t="s">
        <v>58</v>
      </c>
      <c r="AB23" s="13" t="s">
        <v>95</v>
      </c>
      <c r="AC23" s="13" t="s">
        <v>42</v>
      </c>
      <c r="AD23" s="13" t="s">
        <v>49</v>
      </c>
      <c r="AE23" s="13" t="s">
        <v>58</v>
      </c>
      <c r="AF23" s="13" t="s">
        <v>46</v>
      </c>
      <c r="AG23" s="13" t="s">
        <v>54</v>
      </c>
      <c r="AH23" s="13" t="s">
        <v>46</v>
      </c>
      <c r="AI23" s="13" t="s">
        <v>46</v>
      </c>
      <c r="AJ23" s="13" t="s">
        <v>112</v>
      </c>
      <c r="AK23" s="13" t="s">
        <v>44</v>
      </c>
      <c r="AL23" s="13" t="s">
        <v>57</v>
      </c>
      <c r="AM23" s="13" t="s">
        <v>47</v>
      </c>
      <c r="AN23" s="13" t="s">
        <v>60</v>
      </c>
      <c r="AO23" s="13" t="s">
        <v>59</v>
      </c>
      <c r="AP23" s="14" t="s">
        <v>39</v>
      </c>
      <c r="AQ23" s="13" t="s">
        <v>45</v>
      </c>
      <c r="AR23" s="13" t="s">
        <v>50</v>
      </c>
    </row>
    <row r="24" spans="1:44" ht="25.8" customHeight="1" thickBot="1" x14ac:dyDescent="0.3">
      <c r="A24" s="166"/>
      <c r="B24" s="188"/>
      <c r="C24" s="189"/>
      <c r="D24" s="190"/>
      <c r="E24" s="188"/>
      <c r="F24" s="189"/>
      <c r="G24" s="190"/>
      <c r="H24" s="193"/>
      <c r="I24" s="194"/>
      <c r="L24" s="64"/>
      <c r="M24" s="22"/>
      <c r="N24" s="89"/>
      <c r="O24" s="4"/>
      <c r="P24" s="4"/>
      <c r="Q24" s="12" t="s">
        <v>113</v>
      </c>
      <c r="R24" s="13" t="s">
        <v>40</v>
      </c>
      <c r="S24" s="13" t="s">
        <v>49</v>
      </c>
      <c r="T24" s="13" t="s">
        <v>46</v>
      </c>
      <c r="U24" s="13" t="s">
        <v>40</v>
      </c>
      <c r="V24" s="13" t="s">
        <v>59</v>
      </c>
      <c r="W24" s="13" t="s">
        <v>49</v>
      </c>
      <c r="X24" s="13" t="s">
        <v>44</v>
      </c>
      <c r="Y24" s="13" t="s">
        <v>50</v>
      </c>
      <c r="Z24" s="13" t="s">
        <v>44</v>
      </c>
      <c r="AA24" s="13" t="s">
        <v>57</v>
      </c>
      <c r="AB24" s="13" t="s">
        <v>114</v>
      </c>
      <c r="AC24" s="13" t="s">
        <v>41</v>
      </c>
      <c r="AD24" s="13" t="s">
        <v>50</v>
      </c>
      <c r="AE24" s="13" t="s">
        <v>45</v>
      </c>
      <c r="AF24" s="13" t="s">
        <v>49</v>
      </c>
      <c r="AG24" s="13" t="s">
        <v>47</v>
      </c>
      <c r="AH24" s="13" t="s">
        <v>49</v>
      </c>
      <c r="AI24" s="13" t="s">
        <v>59</v>
      </c>
      <c r="AJ24" s="13" t="s">
        <v>44</v>
      </c>
      <c r="AK24" s="13" t="s">
        <v>39</v>
      </c>
      <c r="AL24" s="13" t="s">
        <v>41</v>
      </c>
      <c r="AM24" s="13" t="s">
        <v>43</v>
      </c>
      <c r="AN24" s="13" t="s">
        <v>60</v>
      </c>
      <c r="AO24" s="13" t="s">
        <v>48</v>
      </c>
      <c r="AP24" s="14" t="s">
        <v>44</v>
      </c>
      <c r="AQ24" s="13" t="s">
        <v>54</v>
      </c>
      <c r="AR24" s="13" t="s">
        <v>64</v>
      </c>
    </row>
    <row r="25" spans="1:44" ht="15" customHeight="1" thickBot="1" x14ac:dyDescent="0.3">
      <c r="G25" s="94"/>
      <c r="H25" s="1" t="s">
        <v>81</v>
      </c>
      <c r="J25" s="27"/>
      <c r="K25" s="195"/>
      <c r="L25" s="195"/>
      <c r="M25" s="66"/>
      <c r="N25" s="67"/>
      <c r="O25" s="4"/>
      <c r="P25" s="4"/>
      <c r="Q25" s="12" t="s">
        <v>115</v>
      </c>
      <c r="R25" s="13" t="s">
        <v>43</v>
      </c>
      <c r="S25" s="13" t="s">
        <v>47</v>
      </c>
      <c r="T25" s="13" t="s">
        <v>43</v>
      </c>
      <c r="U25" s="13" t="s">
        <v>40</v>
      </c>
      <c r="V25" s="13" t="s">
        <v>44</v>
      </c>
      <c r="W25" s="13" t="s">
        <v>41</v>
      </c>
      <c r="X25" s="13" t="s">
        <v>56</v>
      </c>
      <c r="Y25" s="13" t="s">
        <v>45</v>
      </c>
      <c r="Z25" s="13" t="s">
        <v>56</v>
      </c>
      <c r="AA25" s="13" t="s">
        <v>43</v>
      </c>
      <c r="AB25" s="13" t="s">
        <v>116</v>
      </c>
      <c r="AC25" s="13" t="s">
        <v>56</v>
      </c>
      <c r="AD25" s="13" t="s">
        <v>57</v>
      </c>
      <c r="AE25" s="13" t="s">
        <v>41</v>
      </c>
      <c r="AF25" s="13" t="s">
        <v>48</v>
      </c>
      <c r="AG25" s="13" t="s">
        <v>54</v>
      </c>
      <c r="AH25" s="13" t="s">
        <v>48</v>
      </c>
      <c r="AI25" s="13" t="s">
        <v>48</v>
      </c>
      <c r="AJ25" s="13" t="s">
        <v>57</v>
      </c>
      <c r="AK25" s="13" t="s">
        <v>41</v>
      </c>
      <c r="AL25" s="13" t="s">
        <v>75</v>
      </c>
      <c r="AM25" s="13" t="s">
        <v>48</v>
      </c>
      <c r="AN25" s="13" t="s">
        <v>60</v>
      </c>
      <c r="AO25" s="13" t="s">
        <v>39</v>
      </c>
      <c r="AP25" s="14" t="s">
        <v>55</v>
      </c>
      <c r="AQ25" s="13" t="s">
        <v>58</v>
      </c>
      <c r="AR25" s="13" t="s">
        <v>58</v>
      </c>
    </row>
    <row r="26" spans="1:44" x14ac:dyDescent="0.25">
      <c r="A26" s="78"/>
      <c r="B26" s="78"/>
      <c r="C26" s="85" t="s">
        <v>117</v>
      </c>
      <c r="D26" s="86"/>
      <c r="E26" s="199">
        <f>M22</f>
        <v>4500</v>
      </c>
      <c r="F26" s="200"/>
      <c r="G26" s="201"/>
      <c r="H26" s="78"/>
      <c r="I26" s="78"/>
      <c r="L26" s="28"/>
      <c r="M26" s="31"/>
      <c r="N26" s="30"/>
      <c r="O26" s="4"/>
      <c r="P26" s="4"/>
      <c r="Q26" s="12" t="s">
        <v>118</v>
      </c>
      <c r="R26" s="13" t="s">
        <v>49</v>
      </c>
      <c r="S26" s="13" t="s">
        <v>41</v>
      </c>
      <c r="T26" s="13" t="s">
        <v>47</v>
      </c>
      <c r="U26" s="13" t="s">
        <v>42</v>
      </c>
      <c r="V26" s="13" t="s">
        <v>41</v>
      </c>
      <c r="W26" s="13" t="s">
        <v>41</v>
      </c>
      <c r="X26" s="13" t="s">
        <v>50</v>
      </c>
      <c r="Y26" s="13" t="s">
        <v>47</v>
      </c>
      <c r="Z26" s="13" t="s">
        <v>50</v>
      </c>
      <c r="AA26" s="13" t="s">
        <v>48</v>
      </c>
      <c r="AB26" s="13" t="s">
        <v>119</v>
      </c>
      <c r="AC26" s="13" t="s">
        <v>50</v>
      </c>
      <c r="AD26" s="13" t="s">
        <v>58</v>
      </c>
      <c r="AE26" s="13" t="s">
        <v>58</v>
      </c>
      <c r="AF26" s="13" t="s">
        <v>43</v>
      </c>
      <c r="AG26" s="13" t="s">
        <v>58</v>
      </c>
      <c r="AH26" s="13" t="s">
        <v>41</v>
      </c>
      <c r="AI26" s="13" t="s">
        <v>47</v>
      </c>
      <c r="AJ26" s="13" t="s">
        <v>47</v>
      </c>
      <c r="AK26" s="13" t="s">
        <v>43</v>
      </c>
      <c r="AL26" s="13" t="s">
        <v>48</v>
      </c>
      <c r="AM26" s="13" t="s">
        <v>39</v>
      </c>
      <c r="AN26" s="13" t="s">
        <v>57</v>
      </c>
      <c r="AO26" s="13" t="s">
        <v>47</v>
      </c>
      <c r="AP26" s="14" t="s">
        <v>58</v>
      </c>
      <c r="AQ26" s="13" t="s">
        <v>43</v>
      </c>
      <c r="AR26" s="13" t="s">
        <v>58</v>
      </c>
    </row>
    <row r="27" spans="1:44" ht="15.75" customHeight="1" x14ac:dyDescent="0.25">
      <c r="A27" s="79"/>
      <c r="B27" s="81"/>
      <c r="C27" s="43" t="s">
        <v>120</v>
      </c>
      <c r="D27" s="44"/>
      <c r="E27" s="202">
        <f>K12</f>
        <v>50.400000000000006</v>
      </c>
      <c r="F27" s="203"/>
      <c r="G27" s="204"/>
      <c r="H27" s="82"/>
      <c r="I27" s="82"/>
      <c r="O27" s="4"/>
      <c r="P27" s="4"/>
      <c r="Q27" s="12" t="s">
        <v>121</v>
      </c>
      <c r="R27" s="13" t="s">
        <v>50</v>
      </c>
      <c r="S27" s="13" t="s">
        <v>60</v>
      </c>
      <c r="T27" s="13" t="s">
        <v>40</v>
      </c>
      <c r="U27" s="13" t="s">
        <v>42</v>
      </c>
      <c r="V27" s="13" t="s">
        <v>60</v>
      </c>
      <c r="W27" s="13" t="s">
        <v>60</v>
      </c>
      <c r="X27" s="13" t="s">
        <v>41</v>
      </c>
      <c r="Y27" s="13" t="s">
        <v>60</v>
      </c>
      <c r="Z27" s="13" t="s">
        <v>41</v>
      </c>
      <c r="AA27" s="13" t="s">
        <v>60</v>
      </c>
      <c r="AB27" s="13" t="s">
        <v>114</v>
      </c>
      <c r="AC27" s="13" t="s">
        <v>41</v>
      </c>
      <c r="AD27" s="13" t="s">
        <v>40</v>
      </c>
      <c r="AE27" s="13" t="s">
        <v>43</v>
      </c>
      <c r="AF27" s="13" t="s">
        <v>60</v>
      </c>
      <c r="AG27" s="13" t="s">
        <v>40</v>
      </c>
      <c r="AH27" s="13" t="s">
        <v>60</v>
      </c>
      <c r="AI27" s="13" t="s">
        <v>40</v>
      </c>
      <c r="AJ27" s="13" t="s">
        <v>60</v>
      </c>
      <c r="AK27" s="13" t="s">
        <v>60</v>
      </c>
      <c r="AL27" s="13" t="s">
        <v>60</v>
      </c>
      <c r="AM27" s="13" t="s">
        <v>57</v>
      </c>
      <c r="AN27" s="13" t="s">
        <v>59</v>
      </c>
      <c r="AO27" s="13" t="s">
        <v>60</v>
      </c>
      <c r="AP27" s="14" t="s">
        <v>40</v>
      </c>
      <c r="AQ27" s="13" t="s">
        <v>60</v>
      </c>
      <c r="AR27" s="13" t="s">
        <v>48</v>
      </c>
    </row>
    <row r="28" spans="1:44" ht="15.75" customHeight="1" thickBot="1" x14ac:dyDescent="0.3">
      <c r="C28" s="83" t="s">
        <v>122</v>
      </c>
      <c r="D28" s="84"/>
      <c r="E28" s="205">
        <f>K13</f>
        <v>546.04799999999989</v>
      </c>
      <c r="F28" s="206"/>
      <c r="G28" s="207"/>
      <c r="J28" s="1" t="s">
        <v>81</v>
      </c>
      <c r="N28" s="3"/>
      <c r="O28" s="4"/>
      <c r="P28" s="4"/>
      <c r="Q28" s="12" t="s">
        <v>123</v>
      </c>
      <c r="R28" s="50" t="s">
        <v>41</v>
      </c>
      <c r="S28" s="50" t="s">
        <v>58</v>
      </c>
      <c r="T28" s="50" t="s">
        <v>48</v>
      </c>
      <c r="U28" s="50" t="s">
        <v>43</v>
      </c>
      <c r="V28" s="50" t="s">
        <v>46</v>
      </c>
      <c r="W28" s="50" t="s">
        <v>48</v>
      </c>
      <c r="X28" s="50" t="s">
        <v>42</v>
      </c>
      <c r="Y28" s="50" t="s">
        <v>57</v>
      </c>
      <c r="Z28" s="50" t="s">
        <v>42</v>
      </c>
      <c r="AA28" s="50" t="s">
        <v>41</v>
      </c>
      <c r="AB28" s="50" t="s">
        <v>124</v>
      </c>
      <c r="AC28" s="50" t="s">
        <v>42</v>
      </c>
      <c r="AD28" s="50" t="s">
        <v>59</v>
      </c>
      <c r="AE28" s="50" t="s">
        <v>47</v>
      </c>
      <c r="AF28" s="50" t="s">
        <v>47</v>
      </c>
      <c r="AG28" s="50" t="s">
        <v>39</v>
      </c>
      <c r="AH28" s="50" t="s">
        <v>48</v>
      </c>
      <c r="AI28" s="50" t="s">
        <v>47</v>
      </c>
      <c r="AJ28" s="50" t="s">
        <v>59</v>
      </c>
      <c r="AK28" s="50" t="s">
        <v>48</v>
      </c>
      <c r="AL28" s="50" t="s">
        <v>39</v>
      </c>
      <c r="AM28" s="50" t="s">
        <v>47</v>
      </c>
      <c r="AN28" s="50" t="s">
        <v>60</v>
      </c>
      <c r="AO28" s="50" t="s">
        <v>75</v>
      </c>
      <c r="AP28" s="50" t="s">
        <v>49</v>
      </c>
      <c r="AQ28" s="50" t="s">
        <v>44</v>
      </c>
      <c r="AR28" s="50" t="s">
        <v>44</v>
      </c>
    </row>
    <row r="29" spans="1:44" ht="15.75" customHeight="1" x14ac:dyDescent="0.25">
      <c r="A29" s="28"/>
      <c r="B29" s="80"/>
      <c r="C29" s="208" t="s">
        <v>125</v>
      </c>
      <c r="D29" s="209"/>
      <c r="E29" s="212">
        <f>SUM(E26:G28)</f>
        <v>5096.4479999999994</v>
      </c>
      <c r="F29" s="213"/>
      <c r="G29" s="214"/>
      <c r="H29" s="265"/>
      <c r="I29" s="243"/>
      <c r="N29" s="3"/>
      <c r="O29" s="4"/>
      <c r="P29" s="4"/>
      <c r="Q29" s="38" t="s">
        <v>126</v>
      </c>
      <c r="R29" s="14" t="s">
        <v>48</v>
      </c>
      <c r="S29" s="14" t="s">
        <v>46</v>
      </c>
      <c r="T29" s="14" t="s">
        <v>58</v>
      </c>
      <c r="U29" s="14" t="s">
        <v>41</v>
      </c>
      <c r="V29" s="14" t="s">
        <v>45</v>
      </c>
      <c r="W29" s="14" t="s">
        <v>58</v>
      </c>
      <c r="X29" s="14" t="s">
        <v>54</v>
      </c>
      <c r="Y29" s="14" t="s">
        <v>55</v>
      </c>
      <c r="Z29" s="14" t="s">
        <v>54</v>
      </c>
      <c r="AA29" s="14" t="s">
        <v>58</v>
      </c>
      <c r="AB29" s="14" t="s">
        <v>100</v>
      </c>
      <c r="AC29" s="14" t="s">
        <v>55</v>
      </c>
      <c r="AD29" s="14" t="s">
        <v>49</v>
      </c>
      <c r="AE29" s="14" t="s">
        <v>44</v>
      </c>
      <c r="AF29" s="14" t="s">
        <v>44</v>
      </c>
      <c r="AG29" s="14" t="s">
        <v>39</v>
      </c>
      <c r="AH29" s="14" t="s">
        <v>46</v>
      </c>
      <c r="AI29" s="14" t="s">
        <v>44</v>
      </c>
      <c r="AJ29" s="14" t="s">
        <v>39</v>
      </c>
      <c r="AK29" s="14" t="s">
        <v>44</v>
      </c>
      <c r="AL29" s="14" t="s">
        <v>55</v>
      </c>
      <c r="AM29" s="14" t="s">
        <v>58</v>
      </c>
      <c r="AN29" s="14" t="s">
        <v>40</v>
      </c>
      <c r="AO29" s="14" t="s">
        <v>49</v>
      </c>
      <c r="AP29" s="14" t="s">
        <v>112</v>
      </c>
      <c r="AQ29" s="14" t="s">
        <v>50</v>
      </c>
      <c r="AR29" s="14" t="s">
        <v>50</v>
      </c>
    </row>
    <row r="30" spans="1:44" ht="15.75" customHeight="1" thickBot="1" x14ac:dyDescent="0.3">
      <c r="C30" s="210"/>
      <c r="D30" s="211"/>
      <c r="E30" s="215"/>
      <c r="F30" s="216"/>
      <c r="G30" s="217"/>
      <c r="H30" s="265"/>
      <c r="I30" s="243"/>
      <c r="M30" s="41"/>
      <c r="N30" s="4"/>
      <c r="Q30" s="12" t="s">
        <v>127</v>
      </c>
      <c r="R30" s="13" t="s">
        <v>40</v>
      </c>
      <c r="S30" s="13" t="s">
        <v>49</v>
      </c>
      <c r="T30" s="13" t="s">
        <v>46</v>
      </c>
      <c r="U30" s="13" t="s">
        <v>60</v>
      </c>
      <c r="V30" s="13" t="s">
        <v>54</v>
      </c>
      <c r="W30" s="13" t="s">
        <v>59</v>
      </c>
      <c r="X30" s="13" t="s">
        <v>45</v>
      </c>
      <c r="Y30" s="13" t="s">
        <v>42</v>
      </c>
      <c r="Z30" s="13" t="s">
        <v>45</v>
      </c>
      <c r="AA30" s="13" t="s">
        <v>56</v>
      </c>
      <c r="AB30" s="13" t="s">
        <v>110</v>
      </c>
      <c r="AC30" s="13" t="s">
        <v>58</v>
      </c>
      <c r="AD30" s="13" t="s">
        <v>57</v>
      </c>
      <c r="AE30" s="13" t="s">
        <v>50</v>
      </c>
      <c r="AF30" s="13" t="s">
        <v>49</v>
      </c>
      <c r="AG30" s="13" t="s">
        <v>46</v>
      </c>
      <c r="AH30" s="13" t="s">
        <v>49</v>
      </c>
      <c r="AI30" s="13" t="s">
        <v>42</v>
      </c>
      <c r="AJ30" s="13" t="s">
        <v>45</v>
      </c>
      <c r="AK30" s="13" t="s">
        <v>54</v>
      </c>
      <c r="AL30" s="13" t="s">
        <v>58</v>
      </c>
      <c r="AM30" s="13" t="s">
        <v>43</v>
      </c>
      <c r="AN30" s="13" t="s">
        <v>60</v>
      </c>
      <c r="AO30" s="13" t="s">
        <v>44</v>
      </c>
      <c r="AP30" s="14" t="s">
        <v>50</v>
      </c>
      <c r="AQ30" s="13" t="s">
        <v>39</v>
      </c>
      <c r="AR30" s="13" t="s">
        <v>56</v>
      </c>
    </row>
    <row r="31" spans="1:44" x14ac:dyDescent="0.25">
      <c r="A31" s="27"/>
      <c r="B31" s="27"/>
      <c r="C31" s="27"/>
      <c r="D31" s="27"/>
      <c r="E31" s="27"/>
      <c r="F31" s="27"/>
      <c r="G31" s="27"/>
      <c r="H31" s="92"/>
      <c r="I31" s="92"/>
      <c r="M31" s="26"/>
      <c r="N31" s="26"/>
      <c r="Q31" s="12" t="s">
        <v>128</v>
      </c>
      <c r="R31" s="13" t="s">
        <v>51</v>
      </c>
      <c r="S31" s="13" t="s">
        <v>45</v>
      </c>
      <c r="T31" s="13" t="s">
        <v>64</v>
      </c>
      <c r="U31" s="13" t="s">
        <v>58</v>
      </c>
      <c r="V31" s="13" t="s">
        <v>56</v>
      </c>
      <c r="W31" s="13" t="s">
        <v>64</v>
      </c>
      <c r="X31" s="13" t="s">
        <v>55</v>
      </c>
      <c r="Y31" s="13" t="s">
        <v>50</v>
      </c>
      <c r="Z31" s="13" t="s">
        <v>59</v>
      </c>
      <c r="AA31" s="13" t="s">
        <v>56</v>
      </c>
      <c r="AB31" s="13" t="s">
        <v>92</v>
      </c>
      <c r="AC31" s="13" t="s">
        <v>50</v>
      </c>
      <c r="AD31" s="13" t="s">
        <v>64</v>
      </c>
      <c r="AE31" s="13" t="s">
        <v>45</v>
      </c>
      <c r="AF31" s="13" t="s">
        <v>64</v>
      </c>
      <c r="AG31" s="13" t="s">
        <v>44</v>
      </c>
      <c r="AH31" s="13" t="s">
        <v>45</v>
      </c>
      <c r="AI31" s="13" t="s">
        <v>57</v>
      </c>
      <c r="AJ31" s="13" t="s">
        <v>50</v>
      </c>
      <c r="AK31" s="13" t="s">
        <v>64</v>
      </c>
      <c r="AL31" s="13" t="s">
        <v>58</v>
      </c>
      <c r="AM31" s="13" t="s">
        <v>58</v>
      </c>
      <c r="AN31" s="13" t="s">
        <v>48</v>
      </c>
      <c r="AO31" s="13" t="s">
        <v>44</v>
      </c>
      <c r="AP31" s="14" t="s">
        <v>50</v>
      </c>
      <c r="AQ31" s="13" t="s">
        <v>56</v>
      </c>
      <c r="AR31" s="13" t="s">
        <v>54</v>
      </c>
    </row>
    <row r="32" spans="1:44" ht="13.5" customHeight="1" x14ac:dyDescent="0.25">
      <c r="A32" s="181"/>
      <c r="B32" s="181"/>
      <c r="C32" s="181"/>
      <c r="D32" s="181"/>
      <c r="E32" s="181"/>
      <c r="F32" s="181"/>
      <c r="G32" s="181"/>
      <c r="H32" s="181"/>
      <c r="I32" s="181"/>
      <c r="J32" s="60"/>
      <c r="K32" s="63"/>
      <c r="L32" s="64" t="s">
        <v>130</v>
      </c>
      <c r="M32" s="93">
        <v>7.3999999999999996E-2</v>
      </c>
      <c r="N32" s="3" t="s">
        <v>102</v>
      </c>
      <c r="O32" s="4"/>
      <c r="P32" s="4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4"/>
      <c r="AQ32" s="13"/>
      <c r="AR32" s="13"/>
    </row>
    <row r="33" spans="1:14" ht="15" customHeight="1" thickBot="1" x14ac:dyDescent="0.3">
      <c r="A33" s="151" t="s">
        <v>163</v>
      </c>
      <c r="B33" s="151"/>
      <c r="C33" s="151"/>
      <c r="D33" s="151"/>
      <c r="E33" s="151"/>
      <c r="F33" s="151"/>
      <c r="G33" s="151"/>
      <c r="H33" s="151"/>
      <c r="I33" s="151"/>
      <c r="L33" s="74" t="s">
        <v>132</v>
      </c>
      <c r="M33" s="35">
        <f>E29*M32</f>
        <v>377.13715199999996</v>
      </c>
      <c r="N33" s="35">
        <f>N22-M33</f>
        <v>-377.13715199999996</v>
      </c>
    </row>
    <row r="34" spans="1:14" ht="13.95" customHeight="1" thickBot="1" x14ac:dyDescent="0.3">
      <c r="A34" s="124" t="s">
        <v>2</v>
      </c>
      <c r="B34" s="218" t="s">
        <v>133</v>
      </c>
      <c r="C34" s="219"/>
      <c r="D34" s="220"/>
      <c r="E34" s="218" t="s">
        <v>134</v>
      </c>
      <c r="F34" s="219"/>
      <c r="G34" s="220"/>
      <c r="H34" s="218" t="s">
        <v>135</v>
      </c>
      <c r="I34" s="221"/>
      <c r="L34" s="28" t="s">
        <v>136</v>
      </c>
      <c r="M34" s="35">
        <f>E38*M32</f>
        <v>377.13715199999996</v>
      </c>
      <c r="N34" s="35">
        <f>N22-M34</f>
        <v>-377.13715199999996</v>
      </c>
    </row>
    <row r="35" spans="1:14" ht="12.75" customHeight="1" x14ac:dyDescent="0.25">
      <c r="A35" s="39">
        <v>1</v>
      </c>
      <c r="B35" s="196" t="s">
        <v>159</v>
      </c>
      <c r="C35" s="196"/>
      <c r="D35" s="196"/>
      <c r="E35" s="196" t="s">
        <v>231</v>
      </c>
      <c r="F35" s="196"/>
      <c r="G35" s="196"/>
      <c r="H35" s="197">
        <f>K10</f>
        <v>0</v>
      </c>
      <c r="I35" s="198"/>
      <c r="L35" s="28"/>
      <c r="M35" s="35"/>
      <c r="N35" s="35"/>
    </row>
    <row r="36" spans="1:14" ht="13.5" customHeight="1" thickBot="1" x14ac:dyDescent="0.3">
      <c r="A36" s="40">
        <v>1</v>
      </c>
      <c r="B36" s="222" t="s">
        <v>160</v>
      </c>
      <c r="C36" s="222"/>
      <c r="D36" s="222"/>
      <c r="E36" s="222" t="s">
        <v>231</v>
      </c>
      <c r="F36" s="222"/>
      <c r="G36" s="222"/>
      <c r="H36" s="223">
        <f>K11</f>
        <v>0</v>
      </c>
      <c r="I36" s="224"/>
      <c r="L36" s="28"/>
      <c r="M36" s="35"/>
      <c r="N36" s="35"/>
    </row>
    <row r="37" spans="1:14" ht="13.8" thickBot="1" x14ac:dyDescent="0.3">
      <c r="A37" s="77"/>
      <c r="B37" s="77"/>
      <c r="C37" s="266"/>
      <c r="D37" s="266"/>
      <c r="E37" s="76"/>
      <c r="F37" s="267"/>
      <c r="G37" s="267"/>
      <c r="H37" s="266"/>
      <c r="I37" s="266"/>
      <c r="J37" s="69"/>
      <c r="K37" s="69"/>
    </row>
    <row r="38" spans="1:14" ht="15" customHeight="1" x14ac:dyDescent="0.25">
      <c r="A38" s="229"/>
      <c r="B38" s="229"/>
      <c r="C38" s="268" t="s">
        <v>137</v>
      </c>
      <c r="D38" s="269"/>
      <c r="E38" s="272">
        <f>M22+K10+K11+K12+K14</f>
        <v>5096.4479999999994</v>
      </c>
      <c r="F38" s="272"/>
      <c r="G38" s="273"/>
      <c r="H38" s="236"/>
      <c r="I38" s="236"/>
      <c r="M38" s="41"/>
      <c r="N38" s="4"/>
    </row>
    <row r="39" spans="1:14" ht="15.75" customHeight="1" thickBot="1" x14ac:dyDescent="0.3">
      <c r="A39" s="229"/>
      <c r="B39" s="229"/>
      <c r="C39" s="270"/>
      <c r="D39" s="271"/>
      <c r="E39" s="274"/>
      <c r="F39" s="274"/>
      <c r="G39" s="275"/>
      <c r="H39" s="236"/>
      <c r="I39" s="236"/>
      <c r="M39" s="41"/>
      <c r="N39" s="4"/>
    </row>
    <row r="40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M40" s="41"/>
      <c r="N40" s="4"/>
    </row>
    <row r="41" spans="1:14" ht="13.8" x14ac:dyDescent="0.25">
      <c r="A41" s="225" t="s">
        <v>138</v>
      </c>
      <c r="B41" s="225"/>
      <c r="C41" s="225"/>
      <c r="D41" s="225"/>
      <c r="E41" s="225"/>
      <c r="F41" s="225"/>
      <c r="G41" s="225"/>
      <c r="H41" s="225"/>
      <c r="I41" s="225"/>
      <c r="L41" s="28"/>
      <c r="M41" s="35"/>
      <c r="N41" s="35"/>
    </row>
    <row r="42" spans="1:14" ht="13.8" x14ac:dyDescent="0.25">
      <c r="A42" s="225" t="s">
        <v>139</v>
      </c>
      <c r="B42" s="225"/>
      <c r="C42" s="225"/>
      <c r="D42" s="225"/>
      <c r="E42" s="225"/>
      <c r="F42" s="225"/>
      <c r="G42" s="225"/>
      <c r="H42" s="225"/>
      <c r="I42" s="225"/>
      <c r="K42" s="28"/>
      <c r="L42" s="31"/>
      <c r="M42" s="30"/>
    </row>
    <row r="43" spans="1:14" ht="15.75" customHeight="1" x14ac:dyDescent="0.25">
      <c r="A43" s="225" t="s">
        <v>158</v>
      </c>
      <c r="B43" s="225"/>
      <c r="C43" s="225"/>
      <c r="D43" s="225"/>
      <c r="E43" s="225"/>
      <c r="F43" s="225"/>
      <c r="G43" s="225"/>
      <c r="H43" s="225"/>
      <c r="I43" s="225"/>
      <c r="K43" s="28"/>
      <c r="L43" s="31"/>
      <c r="M43" s="31"/>
    </row>
    <row r="44" spans="1:14" ht="4.5" customHeight="1" x14ac:dyDescent="0.25">
      <c r="K44" s="28"/>
      <c r="L44" s="35"/>
      <c r="M44" s="35"/>
    </row>
    <row r="45" spans="1:14" ht="15" customHeight="1" x14ac:dyDescent="0.25"/>
    <row r="46" spans="1:14" ht="13.5" customHeight="1" x14ac:dyDescent="0.25">
      <c r="A46" s="1" t="s">
        <v>140</v>
      </c>
    </row>
    <row r="47" spans="1:14" s="45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4" x14ac:dyDescent="0.25">
      <c r="A48" s="46" t="s">
        <v>141</v>
      </c>
    </row>
    <row r="49" spans="1:9" x14ac:dyDescent="0.25">
      <c r="A49" s="46" t="s">
        <v>142</v>
      </c>
    </row>
    <row r="50" spans="1:9" x14ac:dyDescent="0.25">
      <c r="A50" s="46" t="s">
        <v>143</v>
      </c>
    </row>
    <row r="52" spans="1:9" x14ac:dyDescent="0.25">
      <c r="A52" s="226" t="s">
        <v>144</v>
      </c>
      <c r="B52" s="226"/>
      <c r="C52" s="226"/>
      <c r="D52" s="226"/>
      <c r="E52" s="226"/>
      <c r="F52" s="226"/>
      <c r="G52" s="226"/>
      <c r="H52" s="226"/>
      <c r="I52" s="226"/>
    </row>
    <row r="53" spans="1:9" x14ac:dyDescent="0.25">
      <c r="A53" s="155" t="s">
        <v>155</v>
      </c>
      <c r="B53" s="155"/>
      <c r="C53" s="155"/>
      <c r="D53" s="155"/>
      <c r="E53" s="155"/>
      <c r="F53" s="155"/>
      <c r="G53" s="155"/>
      <c r="H53" s="155"/>
      <c r="I53" s="155"/>
    </row>
    <row r="54" spans="1:9" x14ac:dyDescent="0.25">
      <c r="A54" s="227" t="s">
        <v>145</v>
      </c>
      <c r="B54" s="227"/>
      <c r="C54" s="227"/>
      <c r="D54" s="227"/>
      <c r="E54" s="227"/>
      <c r="F54" s="227"/>
      <c r="G54" s="227"/>
      <c r="H54" s="227"/>
      <c r="I54" s="227"/>
    </row>
    <row r="56" spans="1:9" x14ac:dyDescent="0.25">
      <c r="A56" s="28" t="s">
        <v>146</v>
      </c>
      <c r="B56" s="28"/>
      <c r="C56" s="28"/>
      <c r="D56" s="28"/>
    </row>
    <row r="57" spans="1:9" ht="12.75" customHeight="1" x14ac:dyDescent="0.25">
      <c r="A57" s="47" t="s">
        <v>147</v>
      </c>
      <c r="B57" s="47"/>
      <c r="C57" s="47"/>
      <c r="D57" s="28"/>
    </row>
    <row r="58" spans="1:9" x14ac:dyDescent="0.25">
      <c r="A58" s="28" t="s">
        <v>148</v>
      </c>
      <c r="B58" s="28"/>
      <c r="C58" s="28"/>
      <c r="D58" s="28"/>
    </row>
    <row r="59" spans="1:9" x14ac:dyDescent="0.25">
      <c r="A59" s="48" t="s">
        <v>149</v>
      </c>
      <c r="B59" s="49"/>
      <c r="C59" s="49"/>
      <c r="D59" s="28"/>
    </row>
    <row r="60" spans="1:9" x14ac:dyDescent="0.25">
      <c r="A60" s="28" t="s">
        <v>150</v>
      </c>
      <c r="B60" s="28"/>
      <c r="C60" s="28"/>
      <c r="D60" s="28"/>
    </row>
    <row r="61" spans="1:9" x14ac:dyDescent="0.25">
      <c r="B61" s="28"/>
      <c r="C61" s="28"/>
      <c r="F61" s="228"/>
      <c r="G61" s="228"/>
      <c r="H61" s="228"/>
      <c r="I61" s="228"/>
    </row>
    <row r="63" spans="1:9" x14ac:dyDescent="0.25">
      <c r="A63" s="28"/>
      <c r="B63" s="28"/>
      <c r="C63" s="28"/>
      <c r="D63" s="28"/>
    </row>
    <row r="64" spans="1:9" x14ac:dyDescent="0.25">
      <c r="A64" s="47"/>
      <c r="B64" s="47"/>
      <c r="C64" s="47"/>
      <c r="D64" s="28"/>
    </row>
    <row r="65" spans="1:4" x14ac:dyDescent="0.25">
      <c r="A65" s="28"/>
      <c r="B65" s="28"/>
      <c r="C65" s="28"/>
      <c r="D65" s="28"/>
    </row>
    <row r="66" spans="1:4" x14ac:dyDescent="0.25">
      <c r="A66" s="28"/>
      <c r="B66" s="28"/>
      <c r="C66" s="28"/>
      <c r="D66" s="28"/>
    </row>
    <row r="67" spans="1:4" x14ac:dyDescent="0.25">
      <c r="A67" s="48"/>
      <c r="B67" s="49"/>
      <c r="C67" s="49"/>
      <c r="D67" s="28"/>
    </row>
    <row r="68" spans="1:4" x14ac:dyDescent="0.25">
      <c r="A68" s="28"/>
      <c r="B68" s="28"/>
      <c r="C68" s="28"/>
      <c r="D68" s="28"/>
    </row>
  </sheetData>
  <mergeCells count="61">
    <mergeCell ref="A43:I43"/>
    <mergeCell ref="A52:I52"/>
    <mergeCell ref="A53:I53"/>
    <mergeCell ref="A54:I54"/>
    <mergeCell ref="F61:I61"/>
    <mergeCell ref="A42:I42"/>
    <mergeCell ref="B36:D36"/>
    <mergeCell ref="E36:G36"/>
    <mergeCell ref="H36:I36"/>
    <mergeCell ref="C37:D37"/>
    <mergeCell ref="F37:G37"/>
    <mergeCell ref="H37:I37"/>
    <mergeCell ref="A38:B39"/>
    <mergeCell ref="C38:D39"/>
    <mergeCell ref="E38:G39"/>
    <mergeCell ref="H38:I39"/>
    <mergeCell ref="A41:I41"/>
    <mergeCell ref="B35:D35"/>
    <mergeCell ref="E35:G35"/>
    <mergeCell ref="H35:I35"/>
    <mergeCell ref="K25:L25"/>
    <mergeCell ref="E26:G26"/>
    <mergeCell ref="E27:G27"/>
    <mergeCell ref="E28:G28"/>
    <mergeCell ref="C29:D30"/>
    <mergeCell ref="E29:G30"/>
    <mergeCell ref="H29:H30"/>
    <mergeCell ref="I29:I30"/>
    <mergeCell ref="A32:I32"/>
    <mergeCell ref="A33:I33"/>
    <mergeCell ref="B34:D34"/>
    <mergeCell ref="E34:G34"/>
    <mergeCell ref="H34:I34"/>
    <mergeCell ref="B22:D22"/>
    <mergeCell ref="E22:G22"/>
    <mergeCell ref="H22:I22"/>
    <mergeCell ref="K22:L22"/>
    <mergeCell ref="A23:A24"/>
    <mergeCell ref="B23:D24"/>
    <mergeCell ref="E23:G24"/>
    <mergeCell ref="H23:I24"/>
    <mergeCell ref="K23:L23"/>
    <mergeCell ref="A21:I21"/>
    <mergeCell ref="J6:K6"/>
    <mergeCell ref="C9:G9"/>
    <mergeCell ref="A11:I11"/>
    <mergeCell ref="L13:M14"/>
    <mergeCell ref="B16:E16"/>
    <mergeCell ref="F16:G16"/>
    <mergeCell ref="H16:I16"/>
    <mergeCell ref="A17:A18"/>
    <mergeCell ref="B17:E18"/>
    <mergeCell ref="F17:G18"/>
    <mergeCell ref="H17:I18"/>
    <mergeCell ref="A20:I20"/>
    <mergeCell ref="A19:I19"/>
    <mergeCell ref="K1:M1"/>
    <mergeCell ref="Q1:AR1"/>
    <mergeCell ref="K3:K4"/>
    <mergeCell ref="L3:L4"/>
    <mergeCell ref="M3:M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colBreaks count="2" manualBreakCount="2">
    <brk id="9" max="1048575" man="1"/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A0B1-FF8D-45C3-B71D-08CE7C525AA9}">
  <sheetPr>
    <pageSetUpPr fitToPage="1"/>
  </sheetPr>
  <dimension ref="B1:AS68"/>
  <sheetViews>
    <sheetView showGridLines="0" view="pageBreakPreview" topLeftCell="A13" zoomScale="90" zoomScaleNormal="100" zoomScaleSheetLayoutView="90" workbookViewId="0">
      <selection activeCell="B1" sqref="B1:J61"/>
    </sheetView>
  </sheetViews>
  <sheetFormatPr defaultColWidth="11.6640625" defaultRowHeight="13.2" x14ac:dyDescent="0.25"/>
  <cols>
    <col min="1" max="1" width="11.6640625" style="1"/>
    <col min="2" max="2" width="11.6640625" style="1" customWidth="1"/>
    <col min="3" max="4" width="11.6640625" style="1"/>
    <col min="5" max="5" width="10.88671875" style="1" customWidth="1"/>
    <col min="6" max="6" width="18.6640625" style="1" customWidth="1"/>
    <col min="7" max="7" width="12.109375" style="1" bestFit="1" customWidth="1"/>
    <col min="8" max="8" width="13.5546875" style="1" customWidth="1"/>
    <col min="9" max="9" width="12" style="1" customWidth="1"/>
    <col min="10" max="10" width="12.33203125" style="1" customWidth="1"/>
    <col min="11" max="11" width="11.6640625" style="1"/>
    <col min="12" max="12" width="14.44140625" style="1" bestFit="1" customWidth="1"/>
    <col min="13" max="13" width="23.5546875" style="1" customWidth="1"/>
    <col min="14" max="14" width="21.109375" style="1" bestFit="1" customWidth="1"/>
    <col min="15" max="15" width="14.44140625" style="1" bestFit="1" customWidth="1"/>
    <col min="16" max="16" width="9.88671875" style="1" bestFit="1" customWidth="1"/>
    <col min="17" max="17" width="2.5546875" style="1" customWidth="1"/>
    <col min="18" max="18" width="21" style="1" bestFit="1" customWidth="1"/>
    <col min="19" max="23" width="5.44140625" style="1" bestFit="1" customWidth="1"/>
    <col min="24" max="25" width="5.109375" style="1" bestFit="1" customWidth="1"/>
    <col min="26" max="27" width="5.44140625" style="1" bestFit="1" customWidth="1"/>
    <col min="28" max="28" width="5.21875" style="1" customWidth="1"/>
    <col min="29" max="29" width="6" style="1" bestFit="1" customWidth="1"/>
    <col min="30" max="35" width="5.44140625" style="1" bestFit="1" customWidth="1"/>
    <col min="36" max="36" width="5.44140625" style="1" customWidth="1"/>
    <col min="37" max="37" width="5.6640625" style="1" customWidth="1"/>
    <col min="38" max="38" width="5.109375" style="1" bestFit="1" customWidth="1"/>
    <col min="39" max="40" width="5.44140625" style="1" bestFit="1" customWidth="1"/>
    <col min="41" max="41" width="5.5546875" style="1" customWidth="1"/>
    <col min="42" max="45" width="5.44140625" style="1" bestFit="1" customWidth="1"/>
    <col min="46" max="16384" width="11.6640625" style="1"/>
  </cols>
  <sheetData>
    <row r="1" spans="2:45" ht="15" customHeight="1" thickBot="1" x14ac:dyDescent="0.3">
      <c r="B1" s="182" t="s">
        <v>235</v>
      </c>
      <c r="C1" s="182"/>
      <c r="D1" s="182"/>
      <c r="E1" s="182"/>
      <c r="F1" s="182"/>
      <c r="G1" s="182"/>
      <c r="H1" s="182"/>
      <c r="I1" s="182"/>
      <c r="J1" s="182"/>
      <c r="K1" s="2"/>
      <c r="L1" s="137" t="s">
        <v>0</v>
      </c>
      <c r="M1" s="138"/>
      <c r="N1" s="139"/>
      <c r="O1" s="3"/>
      <c r="P1" s="4"/>
      <c r="Q1" s="4"/>
      <c r="R1" s="140" t="s">
        <v>1</v>
      </c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</row>
    <row r="2" spans="2:45" ht="13.8" customHeight="1" thickBot="1" x14ac:dyDescent="0.3">
      <c r="B2" s="182"/>
      <c r="C2" s="182"/>
      <c r="D2" s="182"/>
      <c r="E2" s="182"/>
      <c r="F2" s="182"/>
      <c r="G2" s="182"/>
      <c r="H2" s="182"/>
      <c r="I2" s="182"/>
      <c r="J2" s="182"/>
      <c r="K2" s="2"/>
      <c r="L2" s="5" t="s">
        <v>2</v>
      </c>
      <c r="M2" s="6" t="s">
        <v>3</v>
      </c>
      <c r="N2" s="7" t="s">
        <v>4</v>
      </c>
      <c r="O2" s="4" t="s">
        <v>5</v>
      </c>
      <c r="P2" s="8">
        <f>N5*50%</f>
        <v>41.85</v>
      </c>
      <c r="Q2" s="9"/>
      <c r="R2" s="10" t="s">
        <v>6</v>
      </c>
      <c r="S2" s="10" t="s">
        <v>7</v>
      </c>
      <c r="T2" s="10" t="s">
        <v>8</v>
      </c>
      <c r="U2" s="10" t="s">
        <v>9</v>
      </c>
      <c r="V2" s="10" t="s">
        <v>10</v>
      </c>
      <c r="W2" s="10" t="s">
        <v>11</v>
      </c>
      <c r="X2" s="10" t="s">
        <v>12</v>
      </c>
      <c r="Y2" s="10" t="s">
        <v>13</v>
      </c>
      <c r="Z2" s="10" t="s">
        <v>14</v>
      </c>
      <c r="AA2" s="10" t="s">
        <v>15</v>
      </c>
      <c r="AB2" s="10" t="s">
        <v>173</v>
      </c>
      <c r="AC2" s="10" t="s">
        <v>17</v>
      </c>
      <c r="AD2" s="10" t="s">
        <v>18</v>
      </c>
      <c r="AE2" s="10" t="s">
        <v>19</v>
      </c>
      <c r="AF2" s="10" t="s">
        <v>20</v>
      </c>
      <c r="AG2" s="10" t="s">
        <v>21</v>
      </c>
      <c r="AH2" s="10" t="s">
        <v>22</v>
      </c>
      <c r="AI2" s="10" t="s">
        <v>23</v>
      </c>
      <c r="AJ2" s="10" t="s">
        <v>24</v>
      </c>
      <c r="AK2" s="10" t="s">
        <v>25</v>
      </c>
      <c r="AL2" s="10" t="s">
        <v>26</v>
      </c>
      <c r="AM2" s="10" t="s">
        <v>27</v>
      </c>
      <c r="AN2" s="10" t="s">
        <v>28</v>
      </c>
      <c r="AO2" s="10" t="s">
        <v>29</v>
      </c>
      <c r="AP2" s="10" t="s">
        <v>30</v>
      </c>
      <c r="AQ2" s="11" t="s">
        <v>31</v>
      </c>
      <c r="AR2" s="10" t="s">
        <v>32</v>
      </c>
      <c r="AS2" s="10" t="s">
        <v>33</v>
      </c>
    </row>
    <row r="3" spans="2:45" ht="13.2" customHeight="1" x14ac:dyDescent="0.25">
      <c r="B3" s="182"/>
      <c r="C3" s="182"/>
      <c r="D3" s="182"/>
      <c r="E3" s="182"/>
      <c r="F3" s="182"/>
      <c r="G3" s="182"/>
      <c r="H3" s="182"/>
      <c r="I3" s="182"/>
      <c r="J3" s="182"/>
      <c r="K3" s="2"/>
      <c r="L3" s="141">
        <v>1</v>
      </c>
      <c r="M3" s="143">
        <v>2.7000000000000001E-3</v>
      </c>
      <c r="N3" s="145">
        <f>G17*M3</f>
        <v>83.7</v>
      </c>
      <c r="O3" s="4" t="s">
        <v>35</v>
      </c>
      <c r="P3" s="8">
        <f>N5-P2</f>
        <v>41.85</v>
      </c>
      <c r="Q3" s="4"/>
      <c r="R3" s="12" t="s">
        <v>36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4"/>
      <c r="AR3" s="13"/>
      <c r="AS3" s="13"/>
    </row>
    <row r="4" spans="2:45" ht="15.75" customHeight="1" thickBot="1" x14ac:dyDescent="0.3">
      <c r="B4" s="182"/>
      <c r="C4" s="182"/>
      <c r="D4" s="182"/>
      <c r="E4" s="182"/>
      <c r="F4" s="182"/>
      <c r="G4" s="182"/>
      <c r="H4" s="182"/>
      <c r="I4" s="182"/>
      <c r="J4" s="182"/>
      <c r="K4" s="2"/>
      <c r="L4" s="142"/>
      <c r="M4" s="144"/>
      <c r="N4" s="146"/>
      <c r="O4" s="4" t="s">
        <v>37</v>
      </c>
      <c r="P4" s="8">
        <f>P3*7.38%</f>
        <v>3.0885300000000004</v>
      </c>
      <c r="Q4" s="4"/>
      <c r="R4" s="12" t="s">
        <v>38</v>
      </c>
      <c r="S4" s="13" t="s">
        <v>39</v>
      </c>
      <c r="T4" s="13" t="s">
        <v>40</v>
      </c>
      <c r="U4" s="13" t="s">
        <v>41</v>
      </c>
      <c r="V4" s="13" t="s">
        <v>42</v>
      </c>
      <c r="W4" s="13" t="s">
        <v>40</v>
      </c>
      <c r="X4" s="13" t="s">
        <v>43</v>
      </c>
      <c r="Y4" s="13" t="s">
        <v>44</v>
      </c>
      <c r="Z4" s="13" t="s">
        <v>41</v>
      </c>
      <c r="AA4" s="13" t="s">
        <v>44</v>
      </c>
      <c r="AB4" s="13" t="s">
        <v>43</v>
      </c>
      <c r="AC4" s="13" t="s">
        <v>45</v>
      </c>
      <c r="AD4" s="13" t="s">
        <v>46</v>
      </c>
      <c r="AE4" s="13" t="s">
        <v>47</v>
      </c>
      <c r="AF4" s="13" t="s">
        <v>48</v>
      </c>
      <c r="AG4" s="13" t="s">
        <v>40</v>
      </c>
      <c r="AH4" s="13" t="s">
        <v>48</v>
      </c>
      <c r="AI4" s="13" t="s">
        <v>40</v>
      </c>
      <c r="AJ4" s="13" t="s">
        <v>41</v>
      </c>
      <c r="AK4" s="13" t="s">
        <v>41</v>
      </c>
      <c r="AL4" s="13" t="s">
        <v>40</v>
      </c>
      <c r="AM4" s="13" t="s">
        <v>43</v>
      </c>
      <c r="AN4" s="13" t="s">
        <v>49</v>
      </c>
      <c r="AO4" s="13" t="s">
        <v>50</v>
      </c>
      <c r="AP4" s="13" t="s">
        <v>41</v>
      </c>
      <c r="AQ4" s="14" t="s">
        <v>48</v>
      </c>
      <c r="AR4" s="13" t="s">
        <v>40</v>
      </c>
      <c r="AS4" s="13" t="s">
        <v>51</v>
      </c>
    </row>
    <row r="5" spans="2:45" ht="13.8" customHeight="1" thickBot="1" x14ac:dyDescent="0.3">
      <c r="B5" s="182"/>
      <c r="C5" s="182"/>
      <c r="D5" s="182"/>
      <c r="E5" s="182"/>
      <c r="F5" s="182"/>
      <c r="G5" s="182"/>
      <c r="H5" s="182"/>
      <c r="I5" s="182"/>
      <c r="J5" s="182"/>
      <c r="K5" s="2"/>
      <c r="L5" s="2"/>
      <c r="M5" s="15"/>
      <c r="N5" s="16">
        <f>SUM(N3:N4)</f>
        <v>83.7</v>
      </c>
      <c r="O5" s="4" t="s">
        <v>52</v>
      </c>
      <c r="P5" s="8">
        <f>P3+P4</f>
        <v>44.93853</v>
      </c>
      <c r="Q5" s="4"/>
      <c r="R5" s="12" t="s">
        <v>53</v>
      </c>
      <c r="S5" s="13" t="s">
        <v>40</v>
      </c>
      <c r="T5" s="13" t="s">
        <v>39</v>
      </c>
      <c r="U5" s="13" t="s">
        <v>46</v>
      </c>
      <c r="V5" s="13" t="s">
        <v>40</v>
      </c>
      <c r="W5" s="13" t="s">
        <v>54</v>
      </c>
      <c r="X5" s="13" t="s">
        <v>55</v>
      </c>
      <c r="Y5" s="13" t="s">
        <v>50</v>
      </c>
      <c r="Z5" s="13" t="s">
        <v>56</v>
      </c>
      <c r="AA5" s="13" t="s">
        <v>50</v>
      </c>
      <c r="AB5" s="13" t="s">
        <v>57</v>
      </c>
      <c r="AC5" s="13" t="s">
        <v>58</v>
      </c>
      <c r="AD5" s="13" t="s">
        <v>47</v>
      </c>
      <c r="AE5" s="13" t="s">
        <v>56</v>
      </c>
      <c r="AF5" s="13" t="s">
        <v>50</v>
      </c>
      <c r="AG5" s="13" t="s">
        <v>49</v>
      </c>
      <c r="AH5" s="13" t="s">
        <v>44</v>
      </c>
      <c r="AI5" s="13" t="s">
        <v>49</v>
      </c>
      <c r="AJ5" s="13" t="s">
        <v>59</v>
      </c>
      <c r="AK5" s="13" t="s">
        <v>50</v>
      </c>
      <c r="AL5" s="13" t="s">
        <v>49</v>
      </c>
      <c r="AM5" s="13" t="s">
        <v>47</v>
      </c>
      <c r="AN5" s="13" t="s">
        <v>41</v>
      </c>
      <c r="AO5" s="13" t="s">
        <v>60</v>
      </c>
      <c r="AP5" s="13" t="s">
        <v>58</v>
      </c>
      <c r="AQ5" s="14" t="s">
        <v>46</v>
      </c>
      <c r="AR5" s="13" t="s">
        <v>49</v>
      </c>
      <c r="AS5" s="13" t="s">
        <v>45</v>
      </c>
    </row>
    <row r="6" spans="2:45" ht="13.8" customHeight="1" thickBot="1" x14ac:dyDescent="0.3">
      <c r="B6" s="182"/>
      <c r="C6" s="182"/>
      <c r="D6" s="182"/>
      <c r="E6" s="182"/>
      <c r="F6" s="182"/>
      <c r="G6" s="182"/>
      <c r="H6" s="182"/>
      <c r="I6" s="182"/>
      <c r="J6" s="182"/>
      <c r="K6" s="152" t="s">
        <v>61</v>
      </c>
      <c r="L6" s="153"/>
      <c r="M6" s="17"/>
      <c r="N6" s="18"/>
      <c r="O6" s="3"/>
      <c r="P6" s="19" t="s">
        <v>62</v>
      </c>
      <c r="Q6" s="4"/>
      <c r="R6" s="12" t="s">
        <v>63</v>
      </c>
      <c r="S6" s="13" t="s">
        <v>41</v>
      </c>
      <c r="T6" s="13" t="s">
        <v>46</v>
      </c>
      <c r="U6" s="13" t="s">
        <v>59</v>
      </c>
      <c r="V6" s="13" t="s">
        <v>41</v>
      </c>
      <c r="W6" s="13" t="s">
        <v>46</v>
      </c>
      <c r="X6" s="13" t="s">
        <v>56</v>
      </c>
      <c r="Y6" s="13" t="s">
        <v>50</v>
      </c>
      <c r="Z6" s="13" t="s">
        <v>47</v>
      </c>
      <c r="AA6" s="13" t="s">
        <v>50</v>
      </c>
      <c r="AB6" s="13" t="s">
        <v>42</v>
      </c>
      <c r="AC6" s="13" t="s">
        <v>58</v>
      </c>
      <c r="AD6" s="13" t="s">
        <v>41</v>
      </c>
      <c r="AE6" s="13" t="s">
        <v>58</v>
      </c>
      <c r="AF6" s="13" t="s">
        <v>42</v>
      </c>
      <c r="AG6" s="13" t="s">
        <v>46</v>
      </c>
      <c r="AH6" s="13" t="s">
        <v>47</v>
      </c>
      <c r="AI6" s="13" t="s">
        <v>46</v>
      </c>
      <c r="AJ6" s="13" t="s">
        <v>42</v>
      </c>
      <c r="AK6" s="13" t="s">
        <v>47</v>
      </c>
      <c r="AL6" s="13" t="s">
        <v>46</v>
      </c>
      <c r="AM6" s="13" t="s">
        <v>43</v>
      </c>
      <c r="AN6" s="13" t="s">
        <v>47</v>
      </c>
      <c r="AO6" s="13" t="s">
        <v>40</v>
      </c>
      <c r="AP6" s="13" t="s">
        <v>48</v>
      </c>
      <c r="AQ6" s="14" t="s">
        <v>58</v>
      </c>
      <c r="AR6" s="13" t="s">
        <v>46</v>
      </c>
      <c r="AS6" s="13" t="s">
        <v>64</v>
      </c>
    </row>
    <row r="7" spans="2:45" ht="13.2" customHeight="1" x14ac:dyDescent="0.25">
      <c r="B7" s="182"/>
      <c r="C7" s="182"/>
      <c r="D7" s="182"/>
      <c r="E7" s="182"/>
      <c r="F7" s="182"/>
      <c r="G7" s="182"/>
      <c r="H7" s="182"/>
      <c r="I7" s="182"/>
      <c r="J7" s="182"/>
      <c r="K7" s="51" t="s">
        <v>65</v>
      </c>
      <c r="L7" s="52">
        <v>1000</v>
      </c>
      <c r="M7" s="20"/>
      <c r="N7" s="18"/>
      <c r="O7" s="3"/>
      <c r="P7" s="4"/>
      <c r="Q7" s="4"/>
      <c r="R7" s="12" t="s">
        <v>66</v>
      </c>
      <c r="S7" s="13" t="s">
        <v>42</v>
      </c>
      <c r="T7" s="13" t="s">
        <v>40</v>
      </c>
      <c r="U7" s="13" t="s">
        <v>41</v>
      </c>
      <c r="V7" s="13" t="s">
        <v>59</v>
      </c>
      <c r="W7" s="13" t="s">
        <v>40</v>
      </c>
      <c r="X7" s="13" t="s">
        <v>43</v>
      </c>
      <c r="Y7" s="13" t="s">
        <v>58</v>
      </c>
      <c r="Z7" s="13" t="s">
        <v>43</v>
      </c>
      <c r="AA7" s="13" t="s">
        <v>58</v>
      </c>
      <c r="AB7" s="13" t="s">
        <v>43</v>
      </c>
      <c r="AC7" s="13" t="s">
        <v>44</v>
      </c>
      <c r="AD7" s="13" t="s">
        <v>58</v>
      </c>
      <c r="AE7" s="13" t="s">
        <v>48</v>
      </c>
      <c r="AF7" s="13" t="s">
        <v>48</v>
      </c>
      <c r="AG7" s="13" t="s">
        <v>40</v>
      </c>
      <c r="AH7" s="13" t="s">
        <v>41</v>
      </c>
      <c r="AI7" s="13" t="s">
        <v>40</v>
      </c>
      <c r="AJ7" s="13" t="s">
        <v>48</v>
      </c>
      <c r="AK7" s="13" t="s">
        <v>43</v>
      </c>
      <c r="AL7" s="13" t="s">
        <v>40</v>
      </c>
      <c r="AM7" s="13" t="s">
        <v>40</v>
      </c>
      <c r="AN7" s="13" t="s">
        <v>42</v>
      </c>
      <c r="AO7" s="13" t="s">
        <v>42</v>
      </c>
      <c r="AP7" s="13" t="s">
        <v>43</v>
      </c>
      <c r="AQ7" s="14" t="s">
        <v>41</v>
      </c>
      <c r="AR7" s="13" t="s">
        <v>60</v>
      </c>
      <c r="AS7" s="13" t="s">
        <v>58</v>
      </c>
    </row>
    <row r="8" spans="2:45" ht="13.2" customHeight="1" x14ac:dyDescent="0.25">
      <c r="B8" s="182"/>
      <c r="C8" s="182"/>
      <c r="D8" s="182"/>
      <c r="E8" s="182"/>
      <c r="F8" s="182"/>
      <c r="G8" s="182"/>
      <c r="H8" s="182"/>
      <c r="I8" s="182"/>
      <c r="J8" s="182"/>
      <c r="K8" s="53" t="s">
        <v>67</v>
      </c>
      <c r="L8" s="54">
        <v>180</v>
      </c>
      <c r="M8" s="20"/>
      <c r="N8" s="21" t="s">
        <v>68</v>
      </c>
      <c r="O8" s="3"/>
      <c r="P8" s="22"/>
      <c r="Q8" s="4"/>
      <c r="R8" s="12" t="s">
        <v>69</v>
      </c>
      <c r="S8" s="13" t="s">
        <v>40</v>
      </c>
      <c r="T8" s="13" t="s">
        <v>54</v>
      </c>
      <c r="U8" s="13" t="s">
        <v>46</v>
      </c>
      <c r="V8" s="13" t="s">
        <v>40</v>
      </c>
      <c r="W8" s="13" t="s">
        <v>49</v>
      </c>
      <c r="X8" s="13" t="s">
        <v>59</v>
      </c>
      <c r="Y8" s="13" t="s">
        <v>50</v>
      </c>
      <c r="Z8" s="13" t="s">
        <v>59</v>
      </c>
      <c r="AA8" s="13" t="s">
        <v>50</v>
      </c>
      <c r="AB8" s="13" t="s">
        <v>57</v>
      </c>
      <c r="AC8" s="13" t="s">
        <v>46</v>
      </c>
      <c r="AD8" s="13" t="s">
        <v>44</v>
      </c>
      <c r="AE8" s="13" t="s">
        <v>42</v>
      </c>
      <c r="AF8" s="13" t="s">
        <v>45</v>
      </c>
      <c r="AG8" s="13" t="s">
        <v>55</v>
      </c>
      <c r="AH8" s="13" t="s">
        <v>50</v>
      </c>
      <c r="AI8" s="13" t="s">
        <v>54</v>
      </c>
      <c r="AJ8" s="13" t="s">
        <v>59</v>
      </c>
      <c r="AK8" s="13" t="s">
        <v>57</v>
      </c>
      <c r="AL8" s="13" t="s">
        <v>59</v>
      </c>
      <c r="AM8" s="13" t="s">
        <v>44</v>
      </c>
      <c r="AN8" s="13" t="s">
        <v>41</v>
      </c>
      <c r="AO8" s="13" t="s">
        <v>60</v>
      </c>
      <c r="AP8" s="13" t="s">
        <v>46</v>
      </c>
      <c r="AQ8" s="14" t="s">
        <v>45</v>
      </c>
      <c r="AR8" s="13" t="s">
        <v>54</v>
      </c>
      <c r="AS8" s="13" t="s">
        <v>56</v>
      </c>
    </row>
    <row r="9" spans="2:45" x14ac:dyDescent="0.25">
      <c r="B9" s="1" t="s">
        <v>70</v>
      </c>
      <c r="D9" s="154">
        <f ca="1">TODAY()</f>
        <v>46213</v>
      </c>
      <c r="E9" s="154"/>
      <c r="F9" s="154"/>
      <c r="G9" s="154"/>
      <c r="H9" s="154"/>
      <c r="K9" s="53" t="s">
        <v>71</v>
      </c>
      <c r="L9" s="55">
        <v>2350</v>
      </c>
      <c r="M9" s="23"/>
      <c r="N9" s="23">
        <f>SUM(L7:L12)</f>
        <v>4163.7</v>
      </c>
      <c r="O9" s="24"/>
      <c r="P9" s="4"/>
      <c r="Q9" s="4"/>
      <c r="R9" s="12" t="s">
        <v>72</v>
      </c>
      <c r="S9" s="13" t="s">
        <v>43</v>
      </c>
      <c r="T9" s="13" t="s">
        <v>55</v>
      </c>
      <c r="U9" s="13" t="s">
        <v>56</v>
      </c>
      <c r="V9" s="13" t="s">
        <v>43</v>
      </c>
      <c r="W9" s="13" t="s">
        <v>59</v>
      </c>
      <c r="X9" s="13" t="s">
        <v>39</v>
      </c>
      <c r="Y9" s="13" t="s">
        <v>44</v>
      </c>
      <c r="Z9" s="13" t="s">
        <v>50</v>
      </c>
      <c r="AA9" s="13" t="s">
        <v>44</v>
      </c>
      <c r="AB9" s="13" t="s">
        <v>55</v>
      </c>
      <c r="AC9" s="13" t="s">
        <v>48</v>
      </c>
      <c r="AD9" s="13" t="s">
        <v>48</v>
      </c>
      <c r="AE9" s="13" t="s">
        <v>46</v>
      </c>
      <c r="AF9" s="13" t="s">
        <v>57</v>
      </c>
      <c r="AG9" s="13" t="s">
        <v>49</v>
      </c>
      <c r="AH9" s="13" t="s">
        <v>47</v>
      </c>
      <c r="AI9" s="13" t="s">
        <v>54</v>
      </c>
      <c r="AJ9" s="13" t="s">
        <v>55</v>
      </c>
      <c r="AK9" s="13" t="s">
        <v>44</v>
      </c>
      <c r="AL9" s="13" t="s">
        <v>49</v>
      </c>
      <c r="AM9" s="13" t="s">
        <v>41</v>
      </c>
      <c r="AN9" s="13" t="s">
        <v>41</v>
      </c>
      <c r="AO9" s="13" t="s">
        <v>60</v>
      </c>
      <c r="AP9" s="13" t="s">
        <v>48</v>
      </c>
      <c r="AQ9" s="14" t="s">
        <v>58</v>
      </c>
      <c r="AR9" s="13" t="s">
        <v>59</v>
      </c>
      <c r="AS9" s="13" t="s">
        <v>64</v>
      </c>
    </row>
    <row r="10" spans="2:45" x14ac:dyDescent="0.25">
      <c r="B10" s="133"/>
      <c r="C10" s="133"/>
      <c r="D10" s="133"/>
      <c r="E10" s="133"/>
      <c r="F10" s="133"/>
      <c r="G10" s="133"/>
      <c r="H10" s="133"/>
      <c r="I10" s="133"/>
      <c r="J10" s="134"/>
      <c r="K10" s="53" t="s">
        <v>73</v>
      </c>
      <c r="L10" s="55">
        <v>250</v>
      </c>
      <c r="M10" s="25"/>
      <c r="N10" s="23"/>
      <c r="O10" s="26"/>
      <c r="P10" s="4"/>
      <c r="Q10" s="4"/>
      <c r="R10" s="12" t="s">
        <v>74</v>
      </c>
      <c r="S10" s="13" t="s">
        <v>44</v>
      </c>
      <c r="T10" s="13" t="s">
        <v>50</v>
      </c>
      <c r="U10" s="13" t="s">
        <v>50</v>
      </c>
      <c r="V10" s="13" t="s">
        <v>58</v>
      </c>
      <c r="W10" s="13" t="s">
        <v>50</v>
      </c>
      <c r="X10" s="13" t="s">
        <v>44</v>
      </c>
      <c r="Y10" s="13" t="s">
        <v>75</v>
      </c>
      <c r="Z10" s="13" t="s">
        <v>42</v>
      </c>
      <c r="AA10" s="13" t="s">
        <v>49</v>
      </c>
      <c r="AB10" s="13" t="s">
        <v>46</v>
      </c>
      <c r="AC10" s="13" t="s">
        <v>55</v>
      </c>
      <c r="AD10" s="13" t="s">
        <v>59</v>
      </c>
      <c r="AE10" s="13" t="s">
        <v>54</v>
      </c>
      <c r="AF10" s="13" t="s">
        <v>45</v>
      </c>
      <c r="AG10" s="13" t="s">
        <v>46</v>
      </c>
      <c r="AH10" s="13" t="s">
        <v>42</v>
      </c>
      <c r="AI10" s="13" t="s">
        <v>46</v>
      </c>
      <c r="AJ10" s="13" t="s">
        <v>44</v>
      </c>
      <c r="AK10" s="13" t="s">
        <v>42</v>
      </c>
      <c r="AL10" s="13" t="s">
        <v>44</v>
      </c>
      <c r="AM10" s="13" t="s">
        <v>56</v>
      </c>
      <c r="AN10" s="13" t="s">
        <v>50</v>
      </c>
      <c r="AO10" s="13" t="s">
        <v>41</v>
      </c>
      <c r="AP10" s="13" t="s">
        <v>42</v>
      </c>
      <c r="AQ10" s="14" t="s">
        <v>54</v>
      </c>
      <c r="AR10" s="13" t="s">
        <v>45</v>
      </c>
      <c r="AS10" s="13" t="s">
        <v>55</v>
      </c>
    </row>
    <row r="11" spans="2:45" x14ac:dyDescent="0.25">
      <c r="B11" s="155" t="s">
        <v>154</v>
      </c>
      <c r="C11" s="155"/>
      <c r="D11" s="155"/>
      <c r="E11" s="155"/>
      <c r="F11" s="155"/>
      <c r="G11" s="155"/>
      <c r="H11" s="155"/>
      <c r="I11" s="155"/>
      <c r="J11" s="156"/>
      <c r="K11" s="53" t="s">
        <v>76</v>
      </c>
      <c r="L11" s="56">
        <v>300</v>
      </c>
      <c r="M11" s="25"/>
      <c r="N11" s="2"/>
      <c r="P11" s="4"/>
      <c r="Q11" s="4"/>
      <c r="R11" s="12" t="s">
        <v>77</v>
      </c>
      <c r="S11" s="13" t="s">
        <v>41</v>
      </c>
      <c r="T11" s="13" t="s">
        <v>56</v>
      </c>
      <c r="U11" s="13" t="s">
        <v>47</v>
      </c>
      <c r="V11" s="13" t="s">
        <v>43</v>
      </c>
      <c r="W11" s="13" t="s">
        <v>59</v>
      </c>
      <c r="X11" s="13" t="s">
        <v>50</v>
      </c>
      <c r="Y11" s="13" t="s">
        <v>42</v>
      </c>
      <c r="Z11" s="13" t="s">
        <v>75</v>
      </c>
      <c r="AA11" s="13" t="s">
        <v>42</v>
      </c>
      <c r="AB11" s="13" t="s">
        <v>46</v>
      </c>
      <c r="AC11" s="13" t="s">
        <v>50</v>
      </c>
      <c r="AD11" s="13" t="s">
        <v>45</v>
      </c>
      <c r="AE11" s="13" t="s">
        <v>49</v>
      </c>
      <c r="AF11" s="13" t="s">
        <v>58</v>
      </c>
      <c r="AG11" s="13" t="s">
        <v>45</v>
      </c>
      <c r="AH11" s="13" t="s">
        <v>42</v>
      </c>
      <c r="AI11" s="13" t="s">
        <v>45</v>
      </c>
      <c r="AJ11" s="13" t="s">
        <v>50</v>
      </c>
      <c r="AK11" s="13" t="s">
        <v>39</v>
      </c>
      <c r="AL11" s="13" t="s">
        <v>50</v>
      </c>
      <c r="AM11" s="13" t="s">
        <v>45</v>
      </c>
      <c r="AN11" s="13" t="s">
        <v>47</v>
      </c>
      <c r="AO11" s="13" t="s">
        <v>60</v>
      </c>
      <c r="AP11" s="13" t="s">
        <v>57</v>
      </c>
      <c r="AQ11" s="14" t="s">
        <v>55</v>
      </c>
      <c r="AR11" s="13" t="s">
        <v>42</v>
      </c>
      <c r="AS11" s="13" t="s">
        <v>50</v>
      </c>
    </row>
    <row r="12" spans="2:45" ht="13.8" thickBot="1" x14ac:dyDescent="0.3">
      <c r="B12" s="27" t="s">
        <v>78</v>
      </c>
      <c r="C12" s="28"/>
      <c r="K12" s="59" t="s">
        <v>79</v>
      </c>
      <c r="L12" s="70">
        <f>N3</f>
        <v>83.7</v>
      </c>
      <c r="M12" s="2"/>
      <c r="N12" s="29"/>
      <c r="O12" s="4"/>
      <c r="P12" s="4"/>
      <c r="Q12" s="4"/>
      <c r="R12" s="12" t="s">
        <v>80</v>
      </c>
      <c r="S12" s="13" t="s">
        <v>44</v>
      </c>
      <c r="T12" s="13" t="s">
        <v>50</v>
      </c>
      <c r="U12" s="13" t="s">
        <v>50</v>
      </c>
      <c r="V12" s="13" t="s">
        <v>58</v>
      </c>
      <c r="W12" s="13" t="s">
        <v>50</v>
      </c>
      <c r="X12" s="13" t="s">
        <v>44</v>
      </c>
      <c r="Y12" s="13" t="s">
        <v>49</v>
      </c>
      <c r="Z12" s="13" t="s">
        <v>42</v>
      </c>
      <c r="AA12" s="13" t="s">
        <v>49</v>
      </c>
      <c r="AB12" s="13" t="s">
        <v>46</v>
      </c>
      <c r="AC12" s="13" t="s">
        <v>55</v>
      </c>
      <c r="AD12" s="13" t="s">
        <v>59</v>
      </c>
      <c r="AE12" s="13" t="s">
        <v>54</v>
      </c>
      <c r="AF12" s="13" t="s">
        <v>45</v>
      </c>
      <c r="AG12" s="13" t="s">
        <v>46</v>
      </c>
      <c r="AH12" s="13" t="s">
        <v>42</v>
      </c>
      <c r="AI12" s="13" t="s">
        <v>46</v>
      </c>
      <c r="AJ12" s="13" t="s">
        <v>44</v>
      </c>
      <c r="AK12" s="13" t="s">
        <v>42</v>
      </c>
      <c r="AL12" s="13" t="s">
        <v>44</v>
      </c>
      <c r="AM12" s="13" t="s">
        <v>56</v>
      </c>
      <c r="AN12" s="13" t="s">
        <v>50</v>
      </c>
      <c r="AO12" s="13" t="s">
        <v>41</v>
      </c>
      <c r="AP12" s="13" t="s">
        <v>42</v>
      </c>
      <c r="AQ12" s="14" t="s">
        <v>54</v>
      </c>
      <c r="AR12" s="13" t="s">
        <v>45</v>
      </c>
      <c r="AS12" s="13" t="s">
        <v>59</v>
      </c>
    </row>
    <row r="13" spans="2:45" ht="15" customHeight="1" x14ac:dyDescent="0.25">
      <c r="B13" s="133" t="s">
        <v>81</v>
      </c>
      <c r="C13" s="133"/>
      <c r="D13" s="133"/>
      <c r="E13" s="133"/>
      <c r="F13" s="133"/>
      <c r="G13" s="133"/>
      <c r="H13" s="133"/>
      <c r="I13" s="133"/>
      <c r="J13" s="134"/>
      <c r="K13" s="51" t="s">
        <v>82</v>
      </c>
      <c r="L13" s="73">
        <f>N22*0.12</f>
        <v>483.59999999999997</v>
      </c>
      <c r="M13" s="157"/>
      <c r="N13" s="158"/>
      <c r="O13" s="26"/>
      <c r="P13" s="4"/>
      <c r="Q13" s="4"/>
      <c r="R13" s="12" t="s">
        <v>83</v>
      </c>
      <c r="S13" s="13" t="s">
        <v>43</v>
      </c>
      <c r="T13" s="13" t="s">
        <v>57</v>
      </c>
      <c r="U13" s="13" t="s">
        <v>42</v>
      </c>
      <c r="V13" s="13" t="s">
        <v>43</v>
      </c>
      <c r="W13" s="13" t="s">
        <v>57</v>
      </c>
      <c r="X13" s="13" t="s">
        <v>55</v>
      </c>
      <c r="Y13" s="13" t="s">
        <v>46</v>
      </c>
      <c r="Z13" s="13" t="s">
        <v>46</v>
      </c>
      <c r="AA13" s="13" t="s">
        <v>46</v>
      </c>
      <c r="AB13" s="13" t="s">
        <v>54</v>
      </c>
      <c r="AC13" s="13" t="s">
        <v>58</v>
      </c>
      <c r="AD13" s="13" t="s">
        <v>48</v>
      </c>
      <c r="AE13" s="13" t="s">
        <v>46</v>
      </c>
      <c r="AF13" s="13" t="s">
        <v>42</v>
      </c>
      <c r="AG13" s="13" t="s">
        <v>56</v>
      </c>
      <c r="AH13" s="13" t="s">
        <v>48</v>
      </c>
      <c r="AI13" s="13" t="s">
        <v>57</v>
      </c>
      <c r="AJ13" s="13" t="s">
        <v>55</v>
      </c>
      <c r="AK13" s="13" t="s">
        <v>58</v>
      </c>
      <c r="AL13" s="13" t="s">
        <v>57</v>
      </c>
      <c r="AM13" s="13" t="s">
        <v>43</v>
      </c>
      <c r="AN13" s="13" t="s">
        <v>48</v>
      </c>
      <c r="AO13" s="13" t="s">
        <v>60</v>
      </c>
      <c r="AP13" s="13" t="s">
        <v>41</v>
      </c>
      <c r="AQ13" s="14" t="s">
        <v>58</v>
      </c>
      <c r="AR13" s="13" t="s">
        <v>56</v>
      </c>
      <c r="AS13" s="13" t="s">
        <v>56</v>
      </c>
    </row>
    <row r="14" spans="2:45" ht="15" customHeight="1" thickBot="1" x14ac:dyDescent="0.3">
      <c r="B14" s="1" t="s">
        <v>84</v>
      </c>
      <c r="E14" s="133"/>
      <c r="F14" s="133"/>
      <c r="G14" s="133"/>
      <c r="H14" s="133"/>
      <c r="I14" s="133"/>
      <c r="J14" s="134"/>
      <c r="K14" s="57" t="s">
        <v>85</v>
      </c>
      <c r="L14" s="58">
        <f>(N22+L10+L11)*0.12</f>
        <v>549.6</v>
      </c>
      <c r="M14" s="159"/>
      <c r="N14" s="160"/>
      <c r="O14" s="30"/>
      <c r="P14" s="4"/>
      <c r="Q14" s="4"/>
      <c r="R14" s="12" t="s">
        <v>86</v>
      </c>
      <c r="S14" s="13" t="s">
        <v>45</v>
      </c>
      <c r="T14" s="13" t="s">
        <v>58</v>
      </c>
      <c r="U14" s="13" t="s">
        <v>58</v>
      </c>
      <c r="V14" s="13" t="s">
        <v>44</v>
      </c>
      <c r="W14" s="13" t="s">
        <v>46</v>
      </c>
      <c r="X14" s="13" t="s">
        <v>48</v>
      </c>
      <c r="Y14" s="13" t="s">
        <v>55</v>
      </c>
      <c r="Z14" s="13" t="s">
        <v>50</v>
      </c>
      <c r="AA14" s="13" t="s">
        <v>55</v>
      </c>
      <c r="AB14" s="13" t="s">
        <v>58</v>
      </c>
      <c r="AC14" s="13" t="s">
        <v>54</v>
      </c>
      <c r="AD14" s="13" t="s">
        <v>55</v>
      </c>
      <c r="AE14" s="13" t="s">
        <v>57</v>
      </c>
      <c r="AF14" s="13" t="s">
        <v>50</v>
      </c>
      <c r="AG14" s="13" t="s">
        <v>47</v>
      </c>
      <c r="AH14" s="13" t="s">
        <v>56</v>
      </c>
      <c r="AI14" s="13" t="s">
        <v>47</v>
      </c>
      <c r="AJ14" s="13" t="s">
        <v>44</v>
      </c>
      <c r="AK14" s="13" t="s">
        <v>50</v>
      </c>
      <c r="AL14" s="13" t="s">
        <v>48</v>
      </c>
      <c r="AM14" s="13" t="s">
        <v>46</v>
      </c>
      <c r="AN14" s="13" t="s">
        <v>42</v>
      </c>
      <c r="AO14" s="13" t="s">
        <v>48</v>
      </c>
      <c r="AP14" s="13" t="s">
        <v>45</v>
      </c>
      <c r="AQ14" s="14" t="s">
        <v>56</v>
      </c>
      <c r="AR14" s="13" t="s">
        <v>44</v>
      </c>
      <c r="AS14" s="13" t="s">
        <v>57</v>
      </c>
    </row>
    <row r="15" spans="2:45" ht="13.5" customHeight="1" thickBot="1" x14ac:dyDescent="0.3">
      <c r="B15" s="135"/>
      <c r="C15" s="135"/>
      <c r="D15" s="135"/>
      <c r="E15" s="135"/>
      <c r="F15" s="135"/>
      <c r="G15" s="135"/>
      <c r="H15" s="135"/>
      <c r="I15" s="135"/>
      <c r="J15" s="136"/>
      <c r="K15" s="147"/>
      <c r="L15" s="148"/>
      <c r="M15" s="148"/>
      <c r="N15" s="148"/>
      <c r="O15" s="31"/>
      <c r="P15" s="4"/>
      <c r="Q15" s="4"/>
      <c r="R15" s="12" t="s">
        <v>87</v>
      </c>
      <c r="S15" s="13" t="s">
        <v>46</v>
      </c>
      <c r="T15" s="13" t="s">
        <v>47</v>
      </c>
      <c r="U15" s="13" t="s">
        <v>41</v>
      </c>
      <c r="V15" s="13" t="s">
        <v>58</v>
      </c>
      <c r="W15" s="13" t="s">
        <v>44</v>
      </c>
      <c r="X15" s="13" t="s">
        <v>48</v>
      </c>
      <c r="Y15" s="13" t="s">
        <v>59</v>
      </c>
      <c r="Z15" s="13" t="s">
        <v>45</v>
      </c>
      <c r="AA15" s="13" t="s">
        <v>59</v>
      </c>
      <c r="AB15" s="13" t="s">
        <v>48</v>
      </c>
      <c r="AC15" s="13" t="s">
        <v>55</v>
      </c>
      <c r="AD15" s="13" t="s">
        <v>49</v>
      </c>
      <c r="AE15" s="13" t="s">
        <v>42</v>
      </c>
      <c r="AF15" s="13" t="s">
        <v>44</v>
      </c>
      <c r="AG15" s="13" t="s">
        <v>48</v>
      </c>
      <c r="AH15" s="13" t="s">
        <v>55</v>
      </c>
      <c r="AI15" s="13" t="s">
        <v>48</v>
      </c>
      <c r="AJ15" s="13" t="s">
        <v>58</v>
      </c>
      <c r="AK15" s="13" t="s">
        <v>42</v>
      </c>
      <c r="AL15" s="13" t="s">
        <v>41</v>
      </c>
      <c r="AM15" s="13" t="s">
        <v>56</v>
      </c>
      <c r="AN15" s="13" t="s">
        <v>50</v>
      </c>
      <c r="AO15" s="13" t="s">
        <v>41</v>
      </c>
      <c r="AP15" s="13" t="s">
        <v>42</v>
      </c>
      <c r="AQ15" s="14" t="s">
        <v>55</v>
      </c>
      <c r="AR15" s="13" t="s">
        <v>58</v>
      </c>
      <c r="AS15" s="13" t="s">
        <v>50</v>
      </c>
    </row>
    <row r="16" spans="2:45" ht="15" customHeight="1" thickBot="1" x14ac:dyDescent="0.3">
      <c r="B16" s="32" t="s">
        <v>2</v>
      </c>
      <c r="C16" s="161" t="s">
        <v>174</v>
      </c>
      <c r="D16" s="162"/>
      <c r="E16" s="162"/>
      <c r="F16" s="162"/>
      <c r="G16" s="162" t="s">
        <v>89</v>
      </c>
      <c r="H16" s="163"/>
      <c r="I16" s="161" t="s">
        <v>90</v>
      </c>
      <c r="J16" s="164"/>
      <c r="K16" s="149"/>
      <c r="L16" s="150"/>
      <c r="M16" s="150"/>
      <c r="N16" s="150"/>
      <c r="O16" s="34"/>
      <c r="P16" s="4"/>
      <c r="Q16" s="4"/>
      <c r="R16" s="12" t="s">
        <v>91</v>
      </c>
      <c r="S16" s="13" t="s">
        <v>47</v>
      </c>
      <c r="T16" s="13" t="s">
        <v>56</v>
      </c>
      <c r="U16" s="13" t="s">
        <v>58</v>
      </c>
      <c r="V16" s="13" t="s">
        <v>48</v>
      </c>
      <c r="W16" s="13" t="s">
        <v>42</v>
      </c>
      <c r="X16" s="13" t="s">
        <v>46</v>
      </c>
      <c r="Y16" s="13" t="s">
        <v>54</v>
      </c>
      <c r="Z16" s="13" t="s">
        <v>49</v>
      </c>
      <c r="AA16" s="13" t="s">
        <v>54</v>
      </c>
      <c r="AB16" s="13" t="s">
        <v>46</v>
      </c>
      <c r="AC16" s="13" t="s">
        <v>92</v>
      </c>
      <c r="AD16" s="13" t="s">
        <v>42</v>
      </c>
      <c r="AE16" s="13" t="s">
        <v>39</v>
      </c>
      <c r="AF16" s="13" t="s">
        <v>44</v>
      </c>
      <c r="AG16" s="13" t="s">
        <v>50</v>
      </c>
      <c r="AH16" s="13" t="s">
        <v>55</v>
      </c>
      <c r="AI16" s="13" t="s">
        <v>50</v>
      </c>
      <c r="AJ16" s="13" t="s">
        <v>50</v>
      </c>
      <c r="AK16" s="13" t="s">
        <v>49</v>
      </c>
      <c r="AL16" s="13" t="s">
        <v>50</v>
      </c>
      <c r="AM16" s="13" t="s">
        <v>57</v>
      </c>
      <c r="AN16" s="13" t="s">
        <v>58</v>
      </c>
      <c r="AO16" s="13" t="s">
        <v>40</v>
      </c>
      <c r="AP16" s="13" t="s">
        <v>59</v>
      </c>
      <c r="AQ16" s="14" t="s">
        <v>49</v>
      </c>
      <c r="AR16" s="13" t="s">
        <v>57</v>
      </c>
      <c r="AS16" s="13" t="s">
        <v>64</v>
      </c>
    </row>
    <row r="17" spans="2:45" ht="14.25" customHeight="1" x14ac:dyDescent="0.25">
      <c r="B17" s="165">
        <v>1</v>
      </c>
      <c r="C17" s="167" t="s">
        <v>256</v>
      </c>
      <c r="D17" s="168"/>
      <c r="E17" s="168"/>
      <c r="F17" s="169"/>
      <c r="G17" s="173">
        <v>31000</v>
      </c>
      <c r="H17" s="174"/>
      <c r="I17" s="177" t="s">
        <v>93</v>
      </c>
      <c r="J17" s="178"/>
      <c r="K17" s="60"/>
      <c r="L17" s="42"/>
      <c r="M17" s="34"/>
      <c r="N17" s="31"/>
      <c r="O17" s="3"/>
      <c r="P17" s="4"/>
      <c r="Q17" s="4"/>
      <c r="R17" s="12" t="s">
        <v>94</v>
      </c>
      <c r="S17" s="13" t="s">
        <v>48</v>
      </c>
      <c r="T17" s="13" t="s">
        <v>50</v>
      </c>
      <c r="U17" s="13" t="s">
        <v>42</v>
      </c>
      <c r="V17" s="13" t="s">
        <v>48</v>
      </c>
      <c r="W17" s="13" t="s">
        <v>45</v>
      </c>
      <c r="X17" s="13" t="s">
        <v>57</v>
      </c>
      <c r="Y17" s="13" t="s">
        <v>45</v>
      </c>
      <c r="Z17" s="13" t="s">
        <v>58</v>
      </c>
      <c r="AA17" s="13" t="s">
        <v>45</v>
      </c>
      <c r="AB17" s="13" t="s">
        <v>42</v>
      </c>
      <c r="AC17" s="13" t="s">
        <v>95</v>
      </c>
      <c r="AD17" s="13" t="s">
        <v>44</v>
      </c>
      <c r="AE17" s="13" t="s">
        <v>44</v>
      </c>
      <c r="AF17" s="13" t="s">
        <v>59</v>
      </c>
      <c r="AG17" s="13" t="s">
        <v>50</v>
      </c>
      <c r="AH17" s="13" t="s">
        <v>58</v>
      </c>
      <c r="AI17" s="13" t="s">
        <v>45</v>
      </c>
      <c r="AJ17" s="13" t="s">
        <v>42</v>
      </c>
      <c r="AK17" s="13" t="s">
        <v>58</v>
      </c>
      <c r="AL17" s="13" t="s">
        <v>45</v>
      </c>
      <c r="AM17" s="13" t="s">
        <v>41</v>
      </c>
      <c r="AN17" s="13" t="s">
        <v>58</v>
      </c>
      <c r="AO17" s="13" t="s">
        <v>43</v>
      </c>
      <c r="AP17" s="13" t="s">
        <v>47</v>
      </c>
      <c r="AQ17" s="14" t="s">
        <v>44</v>
      </c>
      <c r="AR17" s="13" t="s">
        <v>50</v>
      </c>
      <c r="AS17" s="13" t="s">
        <v>45</v>
      </c>
    </row>
    <row r="18" spans="2:45" ht="34.200000000000003" customHeight="1" thickBot="1" x14ac:dyDescent="0.3">
      <c r="B18" s="166"/>
      <c r="C18" s="170"/>
      <c r="D18" s="171"/>
      <c r="E18" s="171"/>
      <c r="F18" s="172"/>
      <c r="G18" s="175"/>
      <c r="H18" s="176"/>
      <c r="I18" s="179"/>
      <c r="J18" s="180"/>
      <c r="K18" s="60"/>
      <c r="L18" s="42">
        <f>8000/1274</f>
        <v>6.2794348508634226</v>
      </c>
      <c r="M18" s="34">
        <f>16+18</f>
        <v>34</v>
      </c>
      <c r="N18" s="31"/>
      <c r="O18" s="3"/>
      <c r="P18" s="4"/>
      <c r="Q18" s="4"/>
      <c r="R18" s="12" t="s">
        <v>94</v>
      </c>
      <c r="S18" s="13" t="s">
        <v>48</v>
      </c>
      <c r="T18" s="13" t="s">
        <v>50</v>
      </c>
      <c r="U18" s="13" t="s">
        <v>42</v>
      </c>
      <c r="V18" s="13" t="s">
        <v>48</v>
      </c>
      <c r="W18" s="13" t="s">
        <v>45</v>
      </c>
      <c r="X18" s="13" t="s">
        <v>57</v>
      </c>
      <c r="Y18" s="13" t="s">
        <v>45</v>
      </c>
      <c r="Z18" s="13" t="s">
        <v>58</v>
      </c>
      <c r="AA18" s="13" t="s">
        <v>45</v>
      </c>
      <c r="AB18" s="13" t="s">
        <v>42</v>
      </c>
      <c r="AC18" s="13" t="s">
        <v>95</v>
      </c>
      <c r="AD18" s="13" t="s">
        <v>44</v>
      </c>
      <c r="AE18" s="13" t="s">
        <v>44</v>
      </c>
      <c r="AF18" s="13" t="s">
        <v>59</v>
      </c>
      <c r="AG18" s="13" t="s">
        <v>50</v>
      </c>
      <c r="AH18" s="13" t="s">
        <v>58</v>
      </c>
      <c r="AI18" s="13" t="s">
        <v>45</v>
      </c>
      <c r="AJ18" s="13" t="s">
        <v>42</v>
      </c>
      <c r="AK18" s="13" t="s">
        <v>58</v>
      </c>
      <c r="AL18" s="13" t="s">
        <v>45</v>
      </c>
      <c r="AM18" s="13" t="s">
        <v>41</v>
      </c>
      <c r="AN18" s="13" t="s">
        <v>58</v>
      </c>
      <c r="AO18" s="13" t="s">
        <v>43</v>
      </c>
      <c r="AP18" s="13" t="s">
        <v>47</v>
      </c>
      <c r="AQ18" s="14" t="s">
        <v>44</v>
      </c>
      <c r="AR18" s="13" t="s">
        <v>50</v>
      </c>
      <c r="AS18" s="13" t="s">
        <v>45</v>
      </c>
    </row>
    <row r="19" spans="2:45" ht="14.4" customHeight="1" x14ac:dyDescent="0.25">
      <c r="B19" s="183"/>
      <c r="C19" s="183"/>
      <c r="D19" s="183"/>
      <c r="E19" s="183"/>
      <c r="F19" s="183"/>
      <c r="G19" s="183"/>
      <c r="H19" s="183"/>
      <c r="I19" s="183"/>
      <c r="J19" s="183"/>
      <c r="K19" s="60"/>
      <c r="L19" s="42"/>
      <c r="M19" s="34"/>
      <c r="N19" s="31"/>
      <c r="O19" s="3"/>
      <c r="P19" s="4"/>
      <c r="Q19" s="4"/>
      <c r="R19" s="12" t="s">
        <v>96</v>
      </c>
      <c r="S19" s="13" t="s">
        <v>40</v>
      </c>
      <c r="T19" s="13" t="s">
        <v>49</v>
      </c>
      <c r="U19" s="13" t="s">
        <v>46</v>
      </c>
      <c r="V19" s="13" t="s">
        <v>40</v>
      </c>
      <c r="W19" s="13" t="s">
        <v>55</v>
      </c>
      <c r="X19" s="13" t="s">
        <v>49</v>
      </c>
      <c r="Y19" s="13" t="s">
        <v>46</v>
      </c>
      <c r="Z19" s="13" t="s">
        <v>45</v>
      </c>
      <c r="AA19" s="13" t="s">
        <v>46</v>
      </c>
      <c r="AB19" s="13" t="s">
        <v>56</v>
      </c>
      <c r="AC19" s="13" t="s">
        <v>97</v>
      </c>
      <c r="AD19" s="13" t="s">
        <v>48</v>
      </c>
      <c r="AE19" s="13" t="s">
        <v>50</v>
      </c>
      <c r="AF19" s="13" t="s">
        <v>50</v>
      </c>
      <c r="AG19" s="13" t="s">
        <v>39</v>
      </c>
      <c r="AH19" s="13" t="s">
        <v>58</v>
      </c>
      <c r="AI19" s="13" t="s">
        <v>49</v>
      </c>
      <c r="AJ19" s="13" t="s">
        <v>59</v>
      </c>
      <c r="AK19" s="13" t="s">
        <v>46</v>
      </c>
      <c r="AL19" s="13" t="s">
        <v>49</v>
      </c>
      <c r="AM19" s="13" t="s">
        <v>48</v>
      </c>
      <c r="AN19" s="13" t="s">
        <v>43</v>
      </c>
      <c r="AO19" s="13" t="s">
        <v>60</v>
      </c>
      <c r="AP19" s="13" t="s">
        <v>47</v>
      </c>
      <c r="AQ19" s="14" t="s">
        <v>44</v>
      </c>
      <c r="AR19" s="13" t="s">
        <v>49</v>
      </c>
      <c r="AS19" s="13" t="s">
        <v>64</v>
      </c>
    </row>
    <row r="20" spans="2:45" ht="13.5" customHeight="1" thickBot="1" x14ac:dyDescent="0.3">
      <c r="B20" s="181" t="s">
        <v>98</v>
      </c>
      <c r="C20" s="181"/>
      <c r="D20" s="181"/>
      <c r="E20" s="181"/>
      <c r="F20" s="181"/>
      <c r="G20" s="181"/>
      <c r="H20" s="181"/>
      <c r="I20" s="181"/>
      <c r="J20" s="181"/>
      <c r="K20" s="60"/>
      <c r="L20" s="63"/>
      <c r="M20" s="64"/>
      <c r="N20" s="35"/>
      <c r="O20" s="3"/>
      <c r="P20" s="4"/>
      <c r="Q20" s="4"/>
      <c r="R20" s="12" t="s">
        <v>99</v>
      </c>
      <c r="S20" s="13" t="s">
        <v>48</v>
      </c>
      <c r="T20" s="13" t="s">
        <v>44</v>
      </c>
      <c r="U20" s="13" t="s">
        <v>47</v>
      </c>
      <c r="V20" s="13" t="s">
        <v>41</v>
      </c>
      <c r="W20" s="13" t="s">
        <v>50</v>
      </c>
      <c r="X20" s="13" t="s">
        <v>47</v>
      </c>
      <c r="Y20" s="13" t="s">
        <v>42</v>
      </c>
      <c r="Z20" s="13" t="s">
        <v>42</v>
      </c>
      <c r="AA20" s="13" t="s">
        <v>42</v>
      </c>
      <c r="AB20" s="13" t="s">
        <v>48</v>
      </c>
      <c r="AC20" s="13" t="s">
        <v>100</v>
      </c>
      <c r="AD20" s="13" t="s">
        <v>55</v>
      </c>
      <c r="AE20" s="13" t="s">
        <v>55</v>
      </c>
      <c r="AF20" s="13" t="s">
        <v>58</v>
      </c>
      <c r="AG20" s="13" t="s">
        <v>58</v>
      </c>
      <c r="AH20" s="13" t="s">
        <v>75</v>
      </c>
      <c r="AI20" s="13" t="s">
        <v>58</v>
      </c>
      <c r="AJ20" s="13" t="s">
        <v>58</v>
      </c>
      <c r="AK20" s="13" t="s">
        <v>54</v>
      </c>
      <c r="AL20" s="13" t="s">
        <v>47</v>
      </c>
      <c r="AM20" s="13" t="s">
        <v>54</v>
      </c>
      <c r="AN20" s="13" t="s">
        <v>58</v>
      </c>
      <c r="AO20" s="13" t="s">
        <v>40</v>
      </c>
      <c r="AP20" s="13" t="s">
        <v>39</v>
      </c>
      <c r="AQ20" s="14" t="s">
        <v>39</v>
      </c>
      <c r="AR20" s="13" t="s">
        <v>46</v>
      </c>
      <c r="AS20" s="13" t="s">
        <v>44</v>
      </c>
    </row>
    <row r="21" spans="2:45" ht="15.75" customHeight="1" thickBot="1" x14ac:dyDescent="0.3">
      <c r="B21" s="151" t="s">
        <v>101</v>
      </c>
      <c r="C21" s="151"/>
      <c r="D21" s="151"/>
      <c r="E21" s="151"/>
      <c r="F21" s="151"/>
      <c r="G21" s="151"/>
      <c r="H21" s="151"/>
      <c r="I21" s="151"/>
      <c r="J21" s="151"/>
      <c r="K21" s="60"/>
      <c r="L21" s="63"/>
      <c r="M21" s="64"/>
      <c r="N21" s="22"/>
      <c r="O21" s="36" t="s">
        <v>102</v>
      </c>
      <c r="P21" s="4"/>
      <c r="Q21" s="4"/>
      <c r="R21" s="12" t="s">
        <v>103</v>
      </c>
      <c r="S21" s="13" t="s">
        <v>40</v>
      </c>
      <c r="T21" s="13" t="s">
        <v>49</v>
      </c>
      <c r="U21" s="13" t="s">
        <v>46</v>
      </c>
      <c r="V21" s="13" t="s">
        <v>40</v>
      </c>
      <c r="W21" s="13" t="s">
        <v>54</v>
      </c>
      <c r="X21" s="13" t="s">
        <v>54</v>
      </c>
      <c r="Y21" s="13" t="s">
        <v>46</v>
      </c>
      <c r="Z21" s="13" t="s">
        <v>45</v>
      </c>
      <c r="AA21" s="13" t="s">
        <v>46</v>
      </c>
      <c r="AB21" s="13" t="s">
        <v>57</v>
      </c>
      <c r="AC21" s="13" t="s">
        <v>97</v>
      </c>
      <c r="AD21" s="13" t="s">
        <v>48</v>
      </c>
      <c r="AE21" s="13" t="s">
        <v>50</v>
      </c>
      <c r="AF21" s="13" t="s">
        <v>45</v>
      </c>
      <c r="AG21" s="13" t="s">
        <v>49</v>
      </c>
      <c r="AH21" s="13" t="s">
        <v>58</v>
      </c>
      <c r="AI21" s="13" t="s">
        <v>39</v>
      </c>
      <c r="AJ21" s="13" t="s">
        <v>59</v>
      </c>
      <c r="AK21" s="13" t="s">
        <v>46</v>
      </c>
      <c r="AL21" s="13" t="s">
        <v>49</v>
      </c>
      <c r="AM21" s="13" t="s">
        <v>48</v>
      </c>
      <c r="AN21" s="13" t="s">
        <v>41</v>
      </c>
      <c r="AO21" s="13" t="s">
        <v>60</v>
      </c>
      <c r="AP21" s="13" t="s">
        <v>48</v>
      </c>
      <c r="AQ21" s="14" t="s">
        <v>46</v>
      </c>
      <c r="AR21" s="13" t="s">
        <v>49</v>
      </c>
      <c r="AS21" s="13" t="s">
        <v>45</v>
      </c>
    </row>
    <row r="22" spans="2:45" ht="15" customHeight="1" thickBot="1" x14ac:dyDescent="0.3">
      <c r="B22" s="32" t="s">
        <v>2</v>
      </c>
      <c r="C22" s="161" t="s">
        <v>104</v>
      </c>
      <c r="D22" s="162"/>
      <c r="E22" s="163"/>
      <c r="F22" s="161" t="s">
        <v>105</v>
      </c>
      <c r="G22" s="162"/>
      <c r="H22" s="163"/>
      <c r="I22" s="161" t="s">
        <v>106</v>
      </c>
      <c r="J22" s="164"/>
      <c r="K22" s="75" t="s">
        <v>107</v>
      </c>
      <c r="L22" s="184" t="s">
        <v>108</v>
      </c>
      <c r="M22" s="184"/>
      <c r="N22" s="65">
        <f>L7+L8+L9+O22</f>
        <v>4030</v>
      </c>
      <c r="O22" s="37">
        <v>500</v>
      </c>
      <c r="P22" s="4"/>
      <c r="Q22" s="4"/>
      <c r="R22" s="12" t="s">
        <v>109</v>
      </c>
      <c r="S22" s="13" t="s">
        <v>41</v>
      </c>
      <c r="T22" s="13" t="s">
        <v>59</v>
      </c>
      <c r="U22" s="13" t="s">
        <v>42</v>
      </c>
      <c r="V22" s="13" t="s">
        <v>48</v>
      </c>
      <c r="W22" s="13" t="s">
        <v>59</v>
      </c>
      <c r="X22" s="13" t="s">
        <v>55</v>
      </c>
      <c r="Y22" s="13" t="s">
        <v>44</v>
      </c>
      <c r="Z22" s="13" t="s">
        <v>50</v>
      </c>
      <c r="AA22" s="13" t="s">
        <v>44</v>
      </c>
      <c r="AB22" s="13" t="s">
        <v>55</v>
      </c>
      <c r="AC22" s="13" t="s">
        <v>110</v>
      </c>
      <c r="AD22" s="13" t="s">
        <v>58</v>
      </c>
      <c r="AE22" s="13" t="s">
        <v>50</v>
      </c>
      <c r="AF22" s="13" t="s">
        <v>42</v>
      </c>
      <c r="AG22" s="13" t="s">
        <v>59</v>
      </c>
      <c r="AH22" s="13" t="s">
        <v>58</v>
      </c>
      <c r="AI22" s="13" t="s">
        <v>59</v>
      </c>
      <c r="AJ22" s="13" t="s">
        <v>54</v>
      </c>
      <c r="AK22" s="13" t="s">
        <v>46</v>
      </c>
      <c r="AL22" s="13" t="s">
        <v>59</v>
      </c>
      <c r="AM22" s="13" t="s">
        <v>48</v>
      </c>
      <c r="AN22" s="13" t="s">
        <v>47</v>
      </c>
      <c r="AO22" s="13" t="s">
        <v>40</v>
      </c>
      <c r="AP22" s="13" t="s">
        <v>47</v>
      </c>
      <c r="AQ22" s="14" t="s">
        <v>44</v>
      </c>
      <c r="AR22" s="13" t="s">
        <v>42</v>
      </c>
      <c r="AS22" s="13" t="s">
        <v>57</v>
      </c>
    </row>
    <row r="23" spans="2:45" ht="13.5" customHeight="1" x14ac:dyDescent="0.25">
      <c r="B23" s="165">
        <v>1</v>
      </c>
      <c r="C23" s="185" t="s">
        <v>253</v>
      </c>
      <c r="D23" s="186"/>
      <c r="E23" s="187"/>
      <c r="F23" s="185" t="s">
        <v>252</v>
      </c>
      <c r="G23" s="186"/>
      <c r="H23" s="187"/>
      <c r="I23" s="191" t="s">
        <v>255</v>
      </c>
      <c r="J23" s="192"/>
      <c r="L23" s="195"/>
      <c r="M23" s="195"/>
      <c r="N23" s="22"/>
      <c r="P23" s="4"/>
      <c r="Q23" s="4"/>
      <c r="R23" s="12" t="s">
        <v>111</v>
      </c>
      <c r="S23" s="13" t="s">
        <v>41</v>
      </c>
      <c r="T23" s="13" t="s">
        <v>50</v>
      </c>
      <c r="U23" s="13" t="s">
        <v>47</v>
      </c>
      <c r="V23" s="13" t="s">
        <v>43</v>
      </c>
      <c r="W23" s="13" t="s">
        <v>57</v>
      </c>
      <c r="X23" s="13" t="s">
        <v>44</v>
      </c>
      <c r="Y23" s="13" t="s">
        <v>42</v>
      </c>
      <c r="Z23" s="13" t="s">
        <v>39</v>
      </c>
      <c r="AA23" s="13" t="s">
        <v>42</v>
      </c>
      <c r="AB23" s="13" t="s">
        <v>58</v>
      </c>
      <c r="AC23" s="13" t="s">
        <v>95</v>
      </c>
      <c r="AD23" s="13" t="s">
        <v>42</v>
      </c>
      <c r="AE23" s="13" t="s">
        <v>49</v>
      </c>
      <c r="AF23" s="13" t="s">
        <v>58</v>
      </c>
      <c r="AG23" s="13" t="s">
        <v>46</v>
      </c>
      <c r="AH23" s="13" t="s">
        <v>54</v>
      </c>
      <c r="AI23" s="13" t="s">
        <v>46</v>
      </c>
      <c r="AJ23" s="13" t="s">
        <v>46</v>
      </c>
      <c r="AK23" s="13" t="s">
        <v>112</v>
      </c>
      <c r="AL23" s="13" t="s">
        <v>44</v>
      </c>
      <c r="AM23" s="13" t="s">
        <v>57</v>
      </c>
      <c r="AN23" s="13" t="s">
        <v>47</v>
      </c>
      <c r="AO23" s="13" t="s">
        <v>60</v>
      </c>
      <c r="AP23" s="13" t="s">
        <v>59</v>
      </c>
      <c r="AQ23" s="14" t="s">
        <v>39</v>
      </c>
      <c r="AR23" s="13" t="s">
        <v>45</v>
      </c>
      <c r="AS23" s="13" t="s">
        <v>50</v>
      </c>
    </row>
    <row r="24" spans="2:45" ht="40.200000000000003" customHeight="1" thickBot="1" x14ac:dyDescent="0.3">
      <c r="B24" s="166"/>
      <c r="C24" s="188"/>
      <c r="D24" s="189"/>
      <c r="E24" s="190"/>
      <c r="F24" s="188"/>
      <c r="G24" s="189"/>
      <c r="H24" s="190"/>
      <c r="I24" s="193"/>
      <c r="J24" s="194"/>
      <c r="M24" s="64">
        <v>0</v>
      </c>
      <c r="N24" s="22"/>
      <c r="O24" s="89"/>
      <c r="P24" s="4"/>
      <c r="Q24" s="4"/>
      <c r="R24" s="12" t="s">
        <v>113</v>
      </c>
      <c r="S24" s="13" t="s">
        <v>40</v>
      </c>
      <c r="T24" s="13" t="s">
        <v>49</v>
      </c>
      <c r="U24" s="13" t="s">
        <v>46</v>
      </c>
      <c r="V24" s="13" t="s">
        <v>40</v>
      </c>
      <c r="W24" s="13" t="s">
        <v>59</v>
      </c>
      <c r="X24" s="13" t="s">
        <v>49</v>
      </c>
      <c r="Y24" s="13" t="s">
        <v>44</v>
      </c>
      <c r="Z24" s="13" t="s">
        <v>50</v>
      </c>
      <c r="AA24" s="13" t="s">
        <v>44</v>
      </c>
      <c r="AB24" s="13" t="s">
        <v>57</v>
      </c>
      <c r="AC24" s="13" t="s">
        <v>114</v>
      </c>
      <c r="AD24" s="13" t="s">
        <v>41</v>
      </c>
      <c r="AE24" s="13" t="s">
        <v>50</v>
      </c>
      <c r="AF24" s="13" t="s">
        <v>45</v>
      </c>
      <c r="AG24" s="13" t="s">
        <v>49</v>
      </c>
      <c r="AH24" s="13" t="s">
        <v>47</v>
      </c>
      <c r="AI24" s="13" t="s">
        <v>49</v>
      </c>
      <c r="AJ24" s="13" t="s">
        <v>59</v>
      </c>
      <c r="AK24" s="13" t="s">
        <v>44</v>
      </c>
      <c r="AL24" s="13" t="s">
        <v>39</v>
      </c>
      <c r="AM24" s="13" t="s">
        <v>41</v>
      </c>
      <c r="AN24" s="13" t="s">
        <v>43</v>
      </c>
      <c r="AO24" s="13" t="s">
        <v>60</v>
      </c>
      <c r="AP24" s="13" t="s">
        <v>48</v>
      </c>
      <c r="AQ24" s="14" t="s">
        <v>44</v>
      </c>
      <c r="AR24" s="13" t="s">
        <v>54</v>
      </c>
      <c r="AS24" s="13" t="s">
        <v>64</v>
      </c>
    </row>
    <row r="25" spans="2:45" ht="15" customHeight="1" thickBot="1" x14ac:dyDescent="0.3">
      <c r="B25" s="127"/>
      <c r="C25" s="127"/>
      <c r="D25" s="127"/>
      <c r="E25" s="127"/>
      <c r="F25" s="127"/>
      <c r="G25" s="127"/>
      <c r="H25" s="127"/>
      <c r="I25" s="127"/>
      <c r="J25" s="127"/>
      <c r="K25" s="27"/>
      <c r="L25" s="195">
        <v>0</v>
      </c>
      <c r="M25" s="195"/>
      <c r="N25" s="66"/>
      <c r="O25" s="67"/>
      <c r="P25" s="4"/>
      <c r="Q25" s="4"/>
      <c r="R25" s="12" t="s">
        <v>115</v>
      </c>
      <c r="S25" s="13" t="s">
        <v>43</v>
      </c>
      <c r="T25" s="13" t="s">
        <v>47</v>
      </c>
      <c r="U25" s="13" t="s">
        <v>43</v>
      </c>
      <c r="V25" s="13" t="s">
        <v>40</v>
      </c>
      <c r="W25" s="13" t="s">
        <v>44</v>
      </c>
      <c r="X25" s="13" t="s">
        <v>41</v>
      </c>
      <c r="Y25" s="13" t="s">
        <v>56</v>
      </c>
      <c r="Z25" s="13" t="s">
        <v>45</v>
      </c>
      <c r="AA25" s="13" t="s">
        <v>56</v>
      </c>
      <c r="AB25" s="13" t="s">
        <v>43</v>
      </c>
      <c r="AC25" s="13" t="s">
        <v>116</v>
      </c>
      <c r="AD25" s="13" t="s">
        <v>56</v>
      </c>
      <c r="AE25" s="13" t="s">
        <v>57</v>
      </c>
      <c r="AF25" s="13" t="s">
        <v>41</v>
      </c>
      <c r="AG25" s="13" t="s">
        <v>48</v>
      </c>
      <c r="AH25" s="13" t="s">
        <v>54</v>
      </c>
      <c r="AI25" s="13" t="s">
        <v>48</v>
      </c>
      <c r="AJ25" s="13" t="s">
        <v>48</v>
      </c>
      <c r="AK25" s="13" t="s">
        <v>57</v>
      </c>
      <c r="AL25" s="13" t="s">
        <v>41</v>
      </c>
      <c r="AM25" s="13" t="s">
        <v>75</v>
      </c>
      <c r="AN25" s="13" t="s">
        <v>48</v>
      </c>
      <c r="AO25" s="13" t="s">
        <v>60</v>
      </c>
      <c r="AP25" s="13" t="s">
        <v>39</v>
      </c>
      <c r="AQ25" s="14" t="s">
        <v>55</v>
      </c>
      <c r="AR25" s="13" t="s">
        <v>58</v>
      </c>
      <c r="AS25" s="13" t="s">
        <v>58</v>
      </c>
    </row>
    <row r="26" spans="2:45" x14ac:dyDescent="0.25">
      <c r="B26" s="78"/>
      <c r="C26" s="126"/>
      <c r="D26" s="85" t="s">
        <v>117</v>
      </c>
      <c r="E26" s="86"/>
      <c r="F26" s="199">
        <f>N22</f>
        <v>4030</v>
      </c>
      <c r="G26" s="200"/>
      <c r="H26" s="201"/>
      <c r="I26" s="125"/>
      <c r="J26" s="78"/>
      <c r="M26" s="28">
        <v>0</v>
      </c>
      <c r="N26" s="31"/>
      <c r="O26" s="30"/>
      <c r="P26" s="4"/>
      <c r="Q26" s="4"/>
      <c r="R26" s="12" t="s">
        <v>118</v>
      </c>
      <c r="S26" s="13" t="s">
        <v>49</v>
      </c>
      <c r="T26" s="13" t="s">
        <v>41</v>
      </c>
      <c r="U26" s="13" t="s">
        <v>47</v>
      </c>
      <c r="V26" s="13" t="s">
        <v>42</v>
      </c>
      <c r="W26" s="13" t="s">
        <v>41</v>
      </c>
      <c r="X26" s="13" t="s">
        <v>41</v>
      </c>
      <c r="Y26" s="13" t="s">
        <v>50</v>
      </c>
      <c r="Z26" s="13" t="s">
        <v>47</v>
      </c>
      <c r="AA26" s="13" t="s">
        <v>50</v>
      </c>
      <c r="AB26" s="13" t="s">
        <v>48</v>
      </c>
      <c r="AC26" s="13" t="s">
        <v>119</v>
      </c>
      <c r="AD26" s="13" t="s">
        <v>50</v>
      </c>
      <c r="AE26" s="13" t="s">
        <v>58</v>
      </c>
      <c r="AF26" s="13" t="s">
        <v>58</v>
      </c>
      <c r="AG26" s="13" t="s">
        <v>43</v>
      </c>
      <c r="AH26" s="13" t="s">
        <v>58</v>
      </c>
      <c r="AI26" s="13" t="s">
        <v>41</v>
      </c>
      <c r="AJ26" s="13" t="s">
        <v>47</v>
      </c>
      <c r="AK26" s="13" t="s">
        <v>47</v>
      </c>
      <c r="AL26" s="13" t="s">
        <v>43</v>
      </c>
      <c r="AM26" s="13" t="s">
        <v>48</v>
      </c>
      <c r="AN26" s="13" t="s">
        <v>39</v>
      </c>
      <c r="AO26" s="13" t="s">
        <v>57</v>
      </c>
      <c r="AP26" s="13" t="s">
        <v>47</v>
      </c>
      <c r="AQ26" s="14" t="s">
        <v>58</v>
      </c>
      <c r="AR26" s="13" t="s">
        <v>43</v>
      </c>
      <c r="AS26" s="13" t="s">
        <v>58</v>
      </c>
    </row>
    <row r="27" spans="2:45" ht="15.75" customHeight="1" x14ac:dyDescent="0.25">
      <c r="B27" s="78"/>
      <c r="C27" s="126"/>
      <c r="D27" s="43" t="s">
        <v>120</v>
      </c>
      <c r="E27" s="44"/>
      <c r="F27" s="202">
        <f>L12</f>
        <v>83.7</v>
      </c>
      <c r="G27" s="203"/>
      <c r="H27" s="204"/>
      <c r="I27" s="125"/>
      <c r="J27" s="78"/>
      <c r="P27" s="4"/>
      <c r="Q27" s="4"/>
      <c r="R27" s="12" t="s">
        <v>121</v>
      </c>
      <c r="S27" s="13" t="s">
        <v>50</v>
      </c>
      <c r="T27" s="13" t="s">
        <v>60</v>
      </c>
      <c r="U27" s="13" t="s">
        <v>40</v>
      </c>
      <c r="V27" s="13" t="s">
        <v>42</v>
      </c>
      <c r="W27" s="13" t="s">
        <v>60</v>
      </c>
      <c r="X27" s="13" t="s">
        <v>60</v>
      </c>
      <c r="Y27" s="13" t="s">
        <v>41</v>
      </c>
      <c r="Z27" s="13" t="s">
        <v>60</v>
      </c>
      <c r="AA27" s="13" t="s">
        <v>41</v>
      </c>
      <c r="AB27" s="13" t="s">
        <v>60</v>
      </c>
      <c r="AC27" s="13" t="s">
        <v>114</v>
      </c>
      <c r="AD27" s="13" t="s">
        <v>41</v>
      </c>
      <c r="AE27" s="13" t="s">
        <v>40</v>
      </c>
      <c r="AF27" s="13" t="s">
        <v>43</v>
      </c>
      <c r="AG27" s="13" t="s">
        <v>60</v>
      </c>
      <c r="AH27" s="13" t="s">
        <v>40</v>
      </c>
      <c r="AI27" s="13" t="s">
        <v>60</v>
      </c>
      <c r="AJ27" s="13" t="s">
        <v>40</v>
      </c>
      <c r="AK27" s="13" t="s">
        <v>60</v>
      </c>
      <c r="AL27" s="13" t="s">
        <v>60</v>
      </c>
      <c r="AM27" s="13" t="s">
        <v>60</v>
      </c>
      <c r="AN27" s="13" t="s">
        <v>57</v>
      </c>
      <c r="AO27" s="13" t="s">
        <v>59</v>
      </c>
      <c r="AP27" s="13" t="s">
        <v>60</v>
      </c>
      <c r="AQ27" s="14" t="s">
        <v>40</v>
      </c>
      <c r="AR27" s="13" t="s">
        <v>60</v>
      </c>
      <c r="AS27" s="13" t="s">
        <v>48</v>
      </c>
    </row>
    <row r="28" spans="2:45" ht="15.75" customHeight="1" thickBot="1" x14ac:dyDescent="0.3">
      <c r="B28" s="78"/>
      <c r="C28" s="126"/>
      <c r="D28" s="83" t="s">
        <v>122</v>
      </c>
      <c r="E28" s="84"/>
      <c r="F28" s="205">
        <v>0</v>
      </c>
      <c r="G28" s="206"/>
      <c r="H28" s="207"/>
      <c r="I28" s="125"/>
      <c r="J28" s="78"/>
      <c r="K28" s="1" t="s">
        <v>81</v>
      </c>
      <c r="O28" s="3"/>
      <c r="P28" s="4"/>
      <c r="Q28" s="4"/>
      <c r="R28" s="12" t="s">
        <v>123</v>
      </c>
      <c r="S28" s="50" t="s">
        <v>41</v>
      </c>
      <c r="T28" s="50" t="s">
        <v>58</v>
      </c>
      <c r="U28" s="50" t="s">
        <v>48</v>
      </c>
      <c r="V28" s="50" t="s">
        <v>43</v>
      </c>
      <c r="W28" s="50" t="s">
        <v>46</v>
      </c>
      <c r="X28" s="50" t="s">
        <v>48</v>
      </c>
      <c r="Y28" s="50" t="s">
        <v>42</v>
      </c>
      <c r="Z28" s="50" t="s">
        <v>57</v>
      </c>
      <c r="AA28" s="50" t="s">
        <v>42</v>
      </c>
      <c r="AB28" s="50" t="s">
        <v>41</v>
      </c>
      <c r="AC28" s="50" t="s">
        <v>124</v>
      </c>
      <c r="AD28" s="50" t="s">
        <v>42</v>
      </c>
      <c r="AE28" s="50" t="s">
        <v>59</v>
      </c>
      <c r="AF28" s="50" t="s">
        <v>47</v>
      </c>
      <c r="AG28" s="50" t="s">
        <v>47</v>
      </c>
      <c r="AH28" s="50" t="s">
        <v>39</v>
      </c>
      <c r="AI28" s="50" t="s">
        <v>48</v>
      </c>
      <c r="AJ28" s="50" t="s">
        <v>47</v>
      </c>
      <c r="AK28" s="50" t="s">
        <v>59</v>
      </c>
      <c r="AL28" s="50" t="s">
        <v>48</v>
      </c>
      <c r="AM28" s="50" t="s">
        <v>39</v>
      </c>
      <c r="AN28" s="50" t="s">
        <v>47</v>
      </c>
      <c r="AO28" s="50" t="s">
        <v>60</v>
      </c>
      <c r="AP28" s="50" t="s">
        <v>75</v>
      </c>
      <c r="AQ28" s="50" t="s">
        <v>49</v>
      </c>
      <c r="AR28" s="50" t="s">
        <v>44</v>
      </c>
      <c r="AS28" s="50" t="s">
        <v>44</v>
      </c>
    </row>
    <row r="29" spans="2:45" ht="15.75" customHeight="1" x14ac:dyDescent="0.25">
      <c r="B29" s="78"/>
      <c r="C29" s="126"/>
      <c r="D29" s="208" t="s">
        <v>125</v>
      </c>
      <c r="E29" s="209"/>
      <c r="F29" s="212">
        <f>SUM(F26:H28)</f>
        <v>4113.7</v>
      </c>
      <c r="G29" s="213"/>
      <c r="H29" s="214"/>
      <c r="I29" s="125"/>
      <c r="J29" s="78"/>
      <c r="O29" s="3"/>
      <c r="P29" s="4"/>
      <c r="Q29" s="4"/>
      <c r="R29" s="38" t="s">
        <v>126</v>
      </c>
      <c r="S29" s="14" t="s">
        <v>48</v>
      </c>
      <c r="T29" s="14" t="s">
        <v>46</v>
      </c>
      <c r="U29" s="14" t="s">
        <v>58</v>
      </c>
      <c r="V29" s="14" t="s">
        <v>41</v>
      </c>
      <c r="W29" s="14" t="s">
        <v>45</v>
      </c>
      <c r="X29" s="14" t="s">
        <v>58</v>
      </c>
      <c r="Y29" s="14" t="s">
        <v>54</v>
      </c>
      <c r="Z29" s="14" t="s">
        <v>55</v>
      </c>
      <c r="AA29" s="14" t="s">
        <v>54</v>
      </c>
      <c r="AB29" s="14" t="s">
        <v>58</v>
      </c>
      <c r="AC29" s="14" t="s">
        <v>100</v>
      </c>
      <c r="AD29" s="14" t="s">
        <v>55</v>
      </c>
      <c r="AE29" s="14" t="s">
        <v>49</v>
      </c>
      <c r="AF29" s="14" t="s">
        <v>44</v>
      </c>
      <c r="AG29" s="14" t="s">
        <v>44</v>
      </c>
      <c r="AH29" s="14" t="s">
        <v>39</v>
      </c>
      <c r="AI29" s="14" t="s">
        <v>46</v>
      </c>
      <c r="AJ29" s="14" t="s">
        <v>44</v>
      </c>
      <c r="AK29" s="14" t="s">
        <v>39</v>
      </c>
      <c r="AL29" s="14" t="s">
        <v>44</v>
      </c>
      <c r="AM29" s="14" t="s">
        <v>55</v>
      </c>
      <c r="AN29" s="14" t="s">
        <v>58</v>
      </c>
      <c r="AO29" s="14" t="s">
        <v>40</v>
      </c>
      <c r="AP29" s="14" t="s">
        <v>49</v>
      </c>
      <c r="AQ29" s="14" t="s">
        <v>112</v>
      </c>
      <c r="AR29" s="14" t="s">
        <v>50</v>
      </c>
      <c r="AS29" s="14" t="s">
        <v>50</v>
      </c>
    </row>
    <row r="30" spans="2:45" ht="15.75" customHeight="1" thickBot="1" x14ac:dyDescent="0.3">
      <c r="B30" s="78"/>
      <c r="C30" s="126"/>
      <c r="D30" s="210"/>
      <c r="E30" s="211"/>
      <c r="F30" s="215"/>
      <c r="G30" s="216"/>
      <c r="H30" s="217"/>
      <c r="I30" s="125"/>
      <c r="J30" s="78"/>
      <c r="N30" s="41"/>
      <c r="O30" s="4"/>
      <c r="R30" s="12" t="s">
        <v>127</v>
      </c>
      <c r="S30" s="13" t="s">
        <v>40</v>
      </c>
      <c r="T30" s="13" t="s">
        <v>49</v>
      </c>
      <c r="U30" s="13" t="s">
        <v>46</v>
      </c>
      <c r="V30" s="13" t="s">
        <v>60</v>
      </c>
      <c r="W30" s="13" t="s">
        <v>54</v>
      </c>
      <c r="X30" s="13" t="s">
        <v>59</v>
      </c>
      <c r="Y30" s="13" t="s">
        <v>45</v>
      </c>
      <c r="Z30" s="13" t="s">
        <v>42</v>
      </c>
      <c r="AA30" s="13" t="s">
        <v>45</v>
      </c>
      <c r="AB30" s="13" t="s">
        <v>56</v>
      </c>
      <c r="AC30" s="13" t="s">
        <v>110</v>
      </c>
      <c r="AD30" s="13" t="s">
        <v>58</v>
      </c>
      <c r="AE30" s="13" t="s">
        <v>57</v>
      </c>
      <c r="AF30" s="13" t="s">
        <v>50</v>
      </c>
      <c r="AG30" s="13" t="s">
        <v>49</v>
      </c>
      <c r="AH30" s="13" t="s">
        <v>46</v>
      </c>
      <c r="AI30" s="13" t="s">
        <v>49</v>
      </c>
      <c r="AJ30" s="13" t="s">
        <v>42</v>
      </c>
      <c r="AK30" s="13" t="s">
        <v>45</v>
      </c>
      <c r="AL30" s="13" t="s">
        <v>54</v>
      </c>
      <c r="AM30" s="13" t="s">
        <v>58</v>
      </c>
      <c r="AN30" s="13" t="s">
        <v>43</v>
      </c>
      <c r="AO30" s="13" t="s">
        <v>60</v>
      </c>
      <c r="AP30" s="13" t="s">
        <v>44</v>
      </c>
      <c r="AQ30" s="14" t="s">
        <v>50</v>
      </c>
      <c r="AR30" s="13" t="s">
        <v>39</v>
      </c>
      <c r="AS30" s="13" t="s">
        <v>56</v>
      </c>
    </row>
    <row r="31" spans="2:45" ht="18" customHeight="1" x14ac:dyDescent="0.25">
      <c r="B31" s="27"/>
      <c r="C31" s="27"/>
      <c r="D31" s="27"/>
      <c r="E31" s="27"/>
      <c r="F31" s="27"/>
      <c r="G31" s="27"/>
      <c r="H31" s="27"/>
      <c r="I31" s="27"/>
      <c r="J31" s="27"/>
      <c r="N31" s="26"/>
      <c r="O31" s="26"/>
      <c r="R31" s="12" t="s">
        <v>128</v>
      </c>
      <c r="S31" s="13" t="s">
        <v>51</v>
      </c>
      <c r="T31" s="13" t="s">
        <v>45</v>
      </c>
      <c r="U31" s="13" t="s">
        <v>64</v>
      </c>
      <c r="V31" s="13" t="s">
        <v>58</v>
      </c>
      <c r="W31" s="13" t="s">
        <v>56</v>
      </c>
      <c r="X31" s="13" t="s">
        <v>64</v>
      </c>
      <c r="Y31" s="13" t="s">
        <v>55</v>
      </c>
      <c r="Z31" s="13" t="s">
        <v>50</v>
      </c>
      <c r="AA31" s="13" t="s">
        <v>59</v>
      </c>
      <c r="AB31" s="13" t="s">
        <v>56</v>
      </c>
      <c r="AC31" s="13" t="s">
        <v>92</v>
      </c>
      <c r="AD31" s="13" t="s">
        <v>50</v>
      </c>
      <c r="AE31" s="13" t="s">
        <v>64</v>
      </c>
      <c r="AF31" s="13" t="s">
        <v>45</v>
      </c>
      <c r="AG31" s="13" t="s">
        <v>64</v>
      </c>
      <c r="AH31" s="13" t="s">
        <v>44</v>
      </c>
      <c r="AI31" s="13" t="s">
        <v>45</v>
      </c>
      <c r="AJ31" s="13" t="s">
        <v>57</v>
      </c>
      <c r="AK31" s="13" t="s">
        <v>50</v>
      </c>
      <c r="AL31" s="13" t="s">
        <v>64</v>
      </c>
      <c r="AM31" s="13" t="s">
        <v>58</v>
      </c>
      <c r="AN31" s="13" t="s">
        <v>58</v>
      </c>
      <c r="AO31" s="13" t="s">
        <v>48</v>
      </c>
      <c r="AP31" s="13" t="s">
        <v>44</v>
      </c>
      <c r="AQ31" s="14" t="s">
        <v>50</v>
      </c>
      <c r="AR31" s="13" t="s">
        <v>56</v>
      </c>
      <c r="AS31" s="13" t="s">
        <v>54</v>
      </c>
    </row>
    <row r="32" spans="2:45" ht="13.5" customHeight="1" x14ac:dyDescent="0.25">
      <c r="B32" s="181" t="s">
        <v>129</v>
      </c>
      <c r="C32" s="181"/>
      <c r="D32" s="181"/>
      <c r="E32" s="181"/>
      <c r="F32" s="181"/>
      <c r="G32" s="181"/>
      <c r="H32" s="181"/>
      <c r="I32" s="181"/>
      <c r="J32" s="181"/>
      <c r="K32" s="60"/>
      <c r="L32" s="63"/>
      <c r="M32" s="64" t="s">
        <v>130</v>
      </c>
      <c r="N32" s="93">
        <v>7.3999999999999996E-2</v>
      </c>
      <c r="O32" s="3" t="s">
        <v>102</v>
      </c>
      <c r="P32" s="4"/>
      <c r="Q32" s="4"/>
      <c r="R32" s="1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4"/>
      <c r="AR32" s="13"/>
      <c r="AS32" s="13"/>
    </row>
    <row r="33" spans="2:15" ht="15" customHeight="1" thickBot="1" x14ac:dyDescent="0.3">
      <c r="B33" s="151" t="s">
        <v>162</v>
      </c>
      <c r="C33" s="151"/>
      <c r="D33" s="151"/>
      <c r="E33" s="151"/>
      <c r="F33" s="151"/>
      <c r="G33" s="151"/>
      <c r="H33" s="151"/>
      <c r="I33" s="151"/>
      <c r="J33" s="151"/>
      <c r="M33" s="74" t="s">
        <v>132</v>
      </c>
      <c r="N33" s="35">
        <f>F29*N32</f>
        <v>304.41379999999998</v>
      </c>
      <c r="O33" s="35">
        <f>O22-N33</f>
        <v>195.58620000000002</v>
      </c>
    </row>
    <row r="34" spans="2:15" ht="13.8" thickBot="1" x14ac:dyDescent="0.3">
      <c r="B34" s="124" t="s">
        <v>2</v>
      </c>
      <c r="C34" s="218" t="s">
        <v>133</v>
      </c>
      <c r="D34" s="219"/>
      <c r="E34" s="220"/>
      <c r="F34" s="218" t="s">
        <v>236</v>
      </c>
      <c r="G34" s="219"/>
      <c r="H34" s="220"/>
      <c r="I34" s="218" t="s">
        <v>135</v>
      </c>
      <c r="J34" s="221"/>
      <c r="M34" s="28" t="s">
        <v>136</v>
      </c>
      <c r="N34" s="35">
        <f>F38*N32</f>
        <v>345.11379999999997</v>
      </c>
      <c r="O34" s="35">
        <f>O22-N34</f>
        <v>154.88620000000003</v>
      </c>
    </row>
    <row r="35" spans="2:15" ht="12.6" customHeight="1" x14ac:dyDescent="0.25">
      <c r="B35" s="39">
        <v>1</v>
      </c>
      <c r="C35" s="196" t="s">
        <v>159</v>
      </c>
      <c r="D35" s="196"/>
      <c r="E35" s="196"/>
      <c r="F35" s="196" t="s">
        <v>254</v>
      </c>
      <c r="G35" s="196"/>
      <c r="H35" s="196"/>
      <c r="I35" s="197">
        <f>L10</f>
        <v>250</v>
      </c>
      <c r="J35" s="198"/>
      <c r="M35" s="28"/>
      <c r="N35" s="35"/>
      <c r="O35" s="35"/>
    </row>
    <row r="36" spans="2:15" ht="13.5" customHeight="1" thickBot="1" x14ac:dyDescent="0.3">
      <c r="B36" s="40">
        <v>1</v>
      </c>
      <c r="C36" s="222" t="s">
        <v>160</v>
      </c>
      <c r="D36" s="222"/>
      <c r="E36" s="222"/>
      <c r="F36" s="222" t="s">
        <v>257</v>
      </c>
      <c r="G36" s="222"/>
      <c r="H36" s="222"/>
      <c r="I36" s="223">
        <f>L11</f>
        <v>300</v>
      </c>
      <c r="J36" s="224"/>
      <c r="M36" s="28"/>
      <c r="N36" s="35"/>
      <c r="O36" s="35"/>
    </row>
    <row r="37" spans="2:15" ht="15" customHeight="1" thickBot="1" x14ac:dyDescent="0.3">
      <c r="B37" s="128"/>
      <c r="C37" s="128"/>
      <c r="D37" s="128"/>
      <c r="E37" s="128"/>
      <c r="F37" s="128" t="s">
        <v>81</v>
      </c>
      <c r="G37" s="128"/>
      <c r="H37" s="128"/>
      <c r="I37" s="128"/>
      <c r="J37" s="128"/>
      <c r="K37" s="69"/>
      <c r="L37" s="69"/>
    </row>
    <row r="38" spans="2:15" ht="15" customHeight="1" x14ac:dyDescent="0.25">
      <c r="B38" s="229"/>
      <c r="C38" s="230"/>
      <c r="D38" s="231" t="s">
        <v>137</v>
      </c>
      <c r="E38" s="232"/>
      <c r="F38" s="212">
        <f>F29+L10+L11</f>
        <v>4663.7</v>
      </c>
      <c r="G38" s="213"/>
      <c r="H38" s="214"/>
      <c r="I38" s="235"/>
      <c r="J38" s="236"/>
      <c r="N38" s="41"/>
      <c r="O38" s="4"/>
    </row>
    <row r="39" spans="2:15" ht="15.75" customHeight="1" thickBot="1" x14ac:dyDescent="0.3">
      <c r="B39" s="229"/>
      <c r="C39" s="230"/>
      <c r="D39" s="233"/>
      <c r="E39" s="234"/>
      <c r="F39" s="215"/>
      <c r="G39" s="216"/>
      <c r="H39" s="217"/>
      <c r="I39" s="235"/>
      <c r="J39" s="236"/>
      <c r="N39" s="41"/>
      <c r="O39" s="4"/>
    </row>
    <row r="40" spans="2:15" x14ac:dyDescent="0.25">
      <c r="B40" s="27"/>
      <c r="C40" s="27"/>
      <c r="D40" s="27"/>
      <c r="E40" s="27"/>
      <c r="F40" s="27"/>
      <c r="G40" s="27"/>
      <c r="H40" s="27"/>
      <c r="I40" s="27"/>
      <c r="J40" s="27"/>
      <c r="N40" s="41"/>
      <c r="O40" s="4"/>
    </row>
    <row r="41" spans="2:15" ht="13.8" x14ac:dyDescent="0.25">
      <c r="B41" s="225" t="s">
        <v>138</v>
      </c>
      <c r="C41" s="225"/>
      <c r="D41" s="225"/>
      <c r="E41" s="225"/>
      <c r="F41" s="225"/>
      <c r="G41" s="225"/>
      <c r="H41" s="225"/>
      <c r="I41" s="225"/>
      <c r="J41" s="225"/>
      <c r="M41" s="28"/>
      <c r="N41" s="35"/>
      <c r="O41" s="35"/>
    </row>
    <row r="42" spans="2:15" ht="13.8" x14ac:dyDescent="0.25">
      <c r="B42" s="225" t="s">
        <v>139</v>
      </c>
      <c r="C42" s="225"/>
      <c r="D42" s="225"/>
      <c r="E42" s="225"/>
      <c r="F42" s="225"/>
      <c r="G42" s="225"/>
      <c r="H42" s="225"/>
      <c r="I42" s="225"/>
      <c r="J42" s="225"/>
      <c r="L42" s="28"/>
      <c r="M42" s="31"/>
      <c r="N42" s="30"/>
    </row>
    <row r="43" spans="2:15" ht="15.75" customHeight="1" x14ac:dyDescent="0.25">
      <c r="B43" s="225" t="s">
        <v>161</v>
      </c>
      <c r="C43" s="225"/>
      <c r="D43" s="225"/>
      <c r="E43" s="225"/>
      <c r="F43" s="225"/>
      <c r="G43" s="225"/>
      <c r="H43" s="225"/>
      <c r="I43" s="225"/>
      <c r="J43" s="225"/>
      <c r="L43" s="28"/>
      <c r="M43" s="31"/>
      <c r="N43" s="31"/>
    </row>
    <row r="44" spans="2:15" ht="4.5" customHeight="1" x14ac:dyDescent="0.25">
      <c r="L44" s="28"/>
      <c r="M44" s="35"/>
      <c r="N44" s="35"/>
    </row>
    <row r="45" spans="2:15" ht="15" customHeight="1" x14ac:dyDescent="0.25"/>
    <row r="46" spans="2:15" ht="13.5" customHeight="1" x14ac:dyDescent="0.25">
      <c r="B46" s="1" t="s">
        <v>140</v>
      </c>
    </row>
    <row r="47" spans="2:15" s="45" customFormat="1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2:15" x14ac:dyDescent="0.25">
      <c r="B48" s="46" t="s">
        <v>141</v>
      </c>
      <c r="I48" s="1" t="s">
        <v>81</v>
      </c>
    </row>
    <row r="49" spans="2:10" x14ac:dyDescent="0.25">
      <c r="B49" s="46" t="s">
        <v>142</v>
      </c>
    </row>
    <row r="50" spans="2:10" x14ac:dyDescent="0.25">
      <c r="B50" s="46" t="s">
        <v>143</v>
      </c>
      <c r="I50" s="1" t="s">
        <v>81</v>
      </c>
    </row>
    <row r="52" spans="2:10" x14ac:dyDescent="0.25">
      <c r="B52" s="226" t="s">
        <v>144</v>
      </c>
      <c r="C52" s="226"/>
      <c r="D52" s="226"/>
      <c r="E52" s="226"/>
      <c r="F52" s="226"/>
      <c r="G52" s="226"/>
      <c r="H52" s="226"/>
      <c r="I52" s="226"/>
      <c r="J52" s="226"/>
    </row>
    <row r="53" spans="2:10" ht="14.4" customHeight="1" x14ac:dyDescent="0.25">
      <c r="B53" s="1" t="s">
        <v>81</v>
      </c>
    </row>
    <row r="54" spans="2:10" x14ac:dyDescent="0.25">
      <c r="B54" s="227" t="s">
        <v>145</v>
      </c>
      <c r="C54" s="227"/>
      <c r="D54" s="227"/>
      <c r="E54" s="227"/>
      <c r="F54" s="227"/>
      <c r="G54" s="227"/>
      <c r="H54" s="227"/>
      <c r="I54" s="227"/>
      <c r="J54" s="227"/>
    </row>
    <row r="56" spans="2:10" x14ac:dyDescent="0.25">
      <c r="B56" s="28" t="s">
        <v>146</v>
      </c>
      <c r="C56" s="28"/>
      <c r="D56" s="28"/>
      <c r="E56" s="28"/>
      <c r="F56" s="28"/>
      <c r="G56" s="28"/>
      <c r="H56" s="28"/>
      <c r="I56" s="28"/>
      <c r="J56" s="28"/>
    </row>
    <row r="57" spans="2:10" ht="12.75" customHeight="1" x14ac:dyDescent="0.25">
      <c r="B57" s="47" t="s">
        <v>147</v>
      </c>
      <c r="C57" s="47"/>
      <c r="D57" s="47"/>
      <c r="E57" s="28"/>
    </row>
    <row r="58" spans="2:10" x14ac:dyDescent="0.25">
      <c r="B58" s="28" t="s">
        <v>148</v>
      </c>
      <c r="C58" s="28"/>
      <c r="D58" s="28"/>
      <c r="E58" s="28"/>
    </row>
    <row r="59" spans="2:10" x14ac:dyDescent="0.25">
      <c r="B59" s="48" t="s">
        <v>149</v>
      </c>
      <c r="C59" s="49"/>
      <c r="D59" s="49"/>
      <c r="E59" s="28"/>
    </row>
    <row r="60" spans="2:10" x14ac:dyDescent="0.25">
      <c r="B60" s="28" t="s">
        <v>150</v>
      </c>
      <c r="C60" s="28"/>
      <c r="D60" s="28"/>
      <c r="E60" s="28"/>
    </row>
    <row r="61" spans="2:10" x14ac:dyDescent="0.25">
      <c r="C61" s="28"/>
      <c r="D61" s="28"/>
      <c r="G61" s="228"/>
      <c r="H61" s="228"/>
      <c r="I61" s="228"/>
      <c r="J61" s="228"/>
    </row>
    <row r="63" spans="2:10" x14ac:dyDescent="0.25">
      <c r="B63" s="28"/>
      <c r="C63" s="28"/>
      <c r="D63" s="28"/>
      <c r="E63" s="28"/>
    </row>
    <row r="64" spans="2:10" x14ac:dyDescent="0.25">
      <c r="B64" s="47"/>
      <c r="C64" s="47"/>
      <c r="D64" s="47"/>
      <c r="E64" s="28"/>
    </row>
    <row r="65" spans="2:45" x14ac:dyDescent="0.25">
      <c r="B65" s="28"/>
      <c r="C65" s="28"/>
      <c r="D65" s="28"/>
      <c r="E65" s="28"/>
    </row>
    <row r="66" spans="2:45" x14ac:dyDescent="0.25">
      <c r="B66" s="28"/>
      <c r="C66" s="28"/>
      <c r="D66" s="28"/>
      <c r="E66" s="28"/>
    </row>
    <row r="67" spans="2:45" x14ac:dyDescent="0.25">
      <c r="B67" s="48"/>
      <c r="C67" s="49"/>
      <c r="D67" s="49"/>
      <c r="E67" s="28"/>
    </row>
    <row r="68" spans="2:45" x14ac:dyDescent="0.25">
      <c r="B68" s="28"/>
      <c r="C68" s="28"/>
      <c r="D68" s="28"/>
      <c r="E68" s="28"/>
      <c r="AS68" s="1" t="s">
        <v>251</v>
      </c>
    </row>
  </sheetData>
  <mergeCells count="61">
    <mergeCell ref="B54:J54"/>
    <mergeCell ref="G61:J61"/>
    <mergeCell ref="B38:C39"/>
    <mergeCell ref="D38:E39"/>
    <mergeCell ref="F38:H39"/>
    <mergeCell ref="I38:J39"/>
    <mergeCell ref="B41:J41"/>
    <mergeCell ref="B42:J42"/>
    <mergeCell ref="C36:E36"/>
    <mergeCell ref="F36:H36"/>
    <mergeCell ref="I36:J36"/>
    <mergeCell ref="B43:J43"/>
    <mergeCell ref="B52:J52"/>
    <mergeCell ref="C35:E35"/>
    <mergeCell ref="F35:H35"/>
    <mergeCell ref="I35:J35"/>
    <mergeCell ref="L25:M25"/>
    <mergeCell ref="F26:H26"/>
    <mergeCell ref="F27:H27"/>
    <mergeCell ref="F28:H28"/>
    <mergeCell ref="D29:E30"/>
    <mergeCell ref="F29:H30"/>
    <mergeCell ref="B32:J32"/>
    <mergeCell ref="B33:J33"/>
    <mergeCell ref="C34:E34"/>
    <mergeCell ref="F34:H34"/>
    <mergeCell ref="I34:J34"/>
    <mergeCell ref="C22:E22"/>
    <mergeCell ref="F22:H22"/>
    <mergeCell ref="I22:J22"/>
    <mergeCell ref="L22:M22"/>
    <mergeCell ref="B23:B24"/>
    <mergeCell ref="C23:E24"/>
    <mergeCell ref="F23:H24"/>
    <mergeCell ref="I23:J24"/>
    <mergeCell ref="L23:M23"/>
    <mergeCell ref="B21:J21"/>
    <mergeCell ref="K6:L6"/>
    <mergeCell ref="D9:H9"/>
    <mergeCell ref="B11:J11"/>
    <mergeCell ref="M13:N14"/>
    <mergeCell ref="C16:F16"/>
    <mergeCell ref="G16:H16"/>
    <mergeCell ref="I16:J16"/>
    <mergeCell ref="B17:B18"/>
    <mergeCell ref="C17:F18"/>
    <mergeCell ref="G17:H18"/>
    <mergeCell ref="I17:J18"/>
    <mergeCell ref="B20:J20"/>
    <mergeCell ref="B1:J8"/>
    <mergeCell ref="B10:J10"/>
    <mergeCell ref="B19:J19"/>
    <mergeCell ref="B13:J13"/>
    <mergeCell ref="B15:J15"/>
    <mergeCell ref="E14:J14"/>
    <mergeCell ref="L1:N1"/>
    <mergeCell ref="R1:AS1"/>
    <mergeCell ref="L3:L4"/>
    <mergeCell ref="M3:M4"/>
    <mergeCell ref="N3:N4"/>
    <mergeCell ref="K15:N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6" orientation="portrait" r:id="rId1"/>
  <colBreaks count="2" manualBreakCount="2">
    <brk id="10" max="1048575" man="1"/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057C-4507-4511-AE05-CF4D6EA00277}">
  <sheetPr>
    <pageSetUpPr fitToPage="1"/>
  </sheetPr>
  <dimension ref="A1:AR68"/>
  <sheetViews>
    <sheetView showGridLines="0" view="pageBreakPreview" topLeftCell="A16" zoomScaleNormal="100" zoomScaleSheetLayoutView="100" workbookViewId="0">
      <selection sqref="A1:I61"/>
    </sheetView>
  </sheetViews>
  <sheetFormatPr defaultColWidth="11.6640625" defaultRowHeight="13.2" x14ac:dyDescent="0.25"/>
  <cols>
    <col min="1" max="1" width="11.6640625" style="1" customWidth="1"/>
    <col min="2" max="3" width="11.6640625" style="1"/>
    <col min="4" max="4" width="10.88671875" style="1" customWidth="1"/>
    <col min="5" max="5" width="13.6640625" style="1" customWidth="1"/>
    <col min="6" max="6" width="12.109375" style="1" bestFit="1" customWidth="1"/>
    <col min="7" max="7" width="11.6640625" style="1"/>
    <col min="8" max="8" width="12" style="1" customWidth="1"/>
    <col min="9" max="9" width="12.33203125" style="1" customWidth="1"/>
    <col min="10" max="10" width="11.6640625" style="1"/>
    <col min="11" max="11" width="14.44140625" style="1" bestFit="1" customWidth="1"/>
    <col min="12" max="12" width="23.5546875" style="1" customWidth="1"/>
    <col min="13" max="13" width="21.109375" style="1" bestFit="1" customWidth="1"/>
    <col min="14" max="14" width="13.44140625" style="1" bestFit="1" customWidth="1"/>
    <col min="15" max="15" width="9.88671875" style="1" bestFit="1" customWidth="1"/>
    <col min="16" max="16" width="2.5546875" style="1" customWidth="1"/>
    <col min="17" max="17" width="21" style="1" bestFit="1" customWidth="1"/>
    <col min="18" max="27" width="5.44140625" style="1" bestFit="1" customWidth="1"/>
    <col min="28" max="28" width="6" style="1" bestFit="1" customWidth="1"/>
    <col min="29" max="39" width="5.44140625" style="1" bestFit="1" customWidth="1"/>
    <col min="40" max="40" width="5.5546875" style="1" customWidth="1"/>
    <col min="41" max="44" width="5.44140625" style="1" bestFit="1" customWidth="1"/>
    <col min="45" max="16384" width="11.6640625" style="1"/>
  </cols>
  <sheetData>
    <row r="1" spans="1:44" ht="13.8" thickBot="1" x14ac:dyDescent="0.3">
      <c r="J1" s="2"/>
      <c r="K1" s="137" t="s">
        <v>0</v>
      </c>
      <c r="L1" s="138"/>
      <c r="M1" s="139"/>
      <c r="N1" s="3"/>
      <c r="O1" s="4"/>
      <c r="P1" s="4"/>
      <c r="Q1" s="140" t="s">
        <v>1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</row>
    <row r="2" spans="1:44" ht="13.8" thickBot="1" x14ac:dyDescent="0.3">
      <c r="J2" s="2"/>
      <c r="K2" s="5" t="s">
        <v>2</v>
      </c>
      <c r="L2" s="6" t="s">
        <v>3</v>
      </c>
      <c r="M2" s="7" t="s">
        <v>4</v>
      </c>
      <c r="N2" s="4" t="s">
        <v>5</v>
      </c>
      <c r="O2" s="8">
        <f>M5*50%</f>
        <v>33.75</v>
      </c>
      <c r="P2" s="9"/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0" t="s">
        <v>21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31</v>
      </c>
      <c r="AQ2" s="10" t="s">
        <v>32</v>
      </c>
      <c r="AR2" s="10" t="s">
        <v>33</v>
      </c>
    </row>
    <row r="3" spans="1:44" x14ac:dyDescent="0.25">
      <c r="B3" s="182" t="s">
        <v>34</v>
      </c>
      <c r="C3" s="182"/>
      <c r="D3" s="182"/>
      <c r="E3" s="182"/>
      <c r="J3" s="2"/>
      <c r="K3" s="141">
        <v>1</v>
      </c>
      <c r="L3" s="143">
        <v>2.5000000000000001E-3</v>
      </c>
      <c r="M3" s="145">
        <f>F17*L3</f>
        <v>67.5</v>
      </c>
      <c r="N3" s="4" t="s">
        <v>35</v>
      </c>
      <c r="O3" s="8">
        <f>M5-O2</f>
        <v>33.75</v>
      </c>
      <c r="P3" s="4"/>
      <c r="Q3" s="12" t="s">
        <v>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13"/>
      <c r="AR3" s="13"/>
    </row>
    <row r="4" spans="1:44" ht="15.75" customHeight="1" thickBot="1" x14ac:dyDescent="0.3">
      <c r="B4" s="182"/>
      <c r="C4" s="182"/>
      <c r="D4" s="182"/>
      <c r="E4" s="182"/>
      <c r="J4" s="2"/>
      <c r="K4" s="142"/>
      <c r="L4" s="144"/>
      <c r="M4" s="146"/>
      <c r="N4" s="4" t="s">
        <v>37</v>
      </c>
      <c r="O4" s="8">
        <f>O3*7.38%</f>
        <v>2.4907500000000002</v>
      </c>
      <c r="P4" s="4"/>
      <c r="Q4" s="12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40</v>
      </c>
      <c r="W4" s="13" t="s">
        <v>43</v>
      </c>
      <c r="X4" s="13" t="s">
        <v>44</v>
      </c>
      <c r="Y4" s="13" t="s">
        <v>41</v>
      </c>
      <c r="Z4" s="13" t="s">
        <v>44</v>
      </c>
      <c r="AA4" s="13" t="s">
        <v>43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40</v>
      </c>
      <c r="AG4" s="13" t="s">
        <v>48</v>
      </c>
      <c r="AH4" s="13" t="s">
        <v>40</v>
      </c>
      <c r="AI4" s="13" t="s">
        <v>41</v>
      </c>
      <c r="AJ4" s="13" t="s">
        <v>41</v>
      </c>
      <c r="AK4" s="13" t="s">
        <v>40</v>
      </c>
      <c r="AL4" s="13" t="s">
        <v>43</v>
      </c>
      <c r="AM4" s="13" t="s">
        <v>49</v>
      </c>
      <c r="AN4" s="13" t="s">
        <v>50</v>
      </c>
      <c r="AO4" s="13" t="s">
        <v>41</v>
      </c>
      <c r="AP4" s="14" t="s">
        <v>48</v>
      </c>
      <c r="AQ4" s="13" t="s">
        <v>40</v>
      </c>
      <c r="AR4" s="13" t="s">
        <v>51</v>
      </c>
    </row>
    <row r="5" spans="1:44" ht="13.8" thickBot="1" x14ac:dyDescent="0.3">
      <c r="B5" s="182"/>
      <c r="C5" s="182"/>
      <c r="D5" s="182"/>
      <c r="E5" s="182"/>
      <c r="J5" s="2"/>
      <c r="K5" s="2"/>
      <c r="L5" s="15"/>
      <c r="M5" s="16">
        <f>SUM(M3:M4)</f>
        <v>67.5</v>
      </c>
      <c r="N5" s="4" t="s">
        <v>52</v>
      </c>
      <c r="O5" s="8">
        <f>O3+O4</f>
        <v>36.240749999999998</v>
      </c>
      <c r="P5" s="4"/>
      <c r="Q5" s="12" t="s">
        <v>53</v>
      </c>
      <c r="R5" s="13" t="s">
        <v>40</v>
      </c>
      <c r="S5" s="13" t="s">
        <v>39</v>
      </c>
      <c r="T5" s="13" t="s">
        <v>46</v>
      </c>
      <c r="U5" s="13" t="s">
        <v>40</v>
      </c>
      <c r="V5" s="13" t="s">
        <v>54</v>
      </c>
      <c r="W5" s="13" t="s">
        <v>55</v>
      </c>
      <c r="X5" s="13" t="s">
        <v>50</v>
      </c>
      <c r="Y5" s="13" t="s">
        <v>56</v>
      </c>
      <c r="Z5" s="13" t="s">
        <v>50</v>
      </c>
      <c r="AA5" s="13" t="s">
        <v>57</v>
      </c>
      <c r="AB5" s="13" t="s">
        <v>58</v>
      </c>
      <c r="AC5" s="13" t="s">
        <v>47</v>
      </c>
      <c r="AD5" s="13" t="s">
        <v>56</v>
      </c>
      <c r="AE5" s="13" t="s">
        <v>50</v>
      </c>
      <c r="AF5" s="13" t="s">
        <v>49</v>
      </c>
      <c r="AG5" s="13" t="s">
        <v>44</v>
      </c>
      <c r="AH5" s="13" t="s">
        <v>49</v>
      </c>
      <c r="AI5" s="13" t="s">
        <v>59</v>
      </c>
      <c r="AJ5" s="13" t="s">
        <v>50</v>
      </c>
      <c r="AK5" s="13" t="s">
        <v>49</v>
      </c>
      <c r="AL5" s="13" t="s">
        <v>47</v>
      </c>
      <c r="AM5" s="13" t="s">
        <v>41</v>
      </c>
      <c r="AN5" s="13" t="s">
        <v>60</v>
      </c>
      <c r="AO5" s="13" t="s">
        <v>58</v>
      </c>
      <c r="AP5" s="14" t="s">
        <v>46</v>
      </c>
      <c r="AQ5" s="13" t="s">
        <v>49</v>
      </c>
      <c r="AR5" s="13" t="s">
        <v>45</v>
      </c>
    </row>
    <row r="6" spans="1:44" ht="13.8" thickBot="1" x14ac:dyDescent="0.3">
      <c r="J6" s="152" t="s">
        <v>61</v>
      </c>
      <c r="K6" s="153"/>
      <c r="L6" s="17"/>
      <c r="M6" s="18"/>
      <c r="N6" s="3"/>
      <c r="O6" s="19" t="s">
        <v>62</v>
      </c>
      <c r="P6" s="4"/>
      <c r="Q6" s="12" t="s">
        <v>63</v>
      </c>
      <c r="R6" s="13" t="s">
        <v>41</v>
      </c>
      <c r="S6" s="13" t="s">
        <v>46</v>
      </c>
      <c r="T6" s="13" t="s">
        <v>59</v>
      </c>
      <c r="U6" s="13" t="s">
        <v>41</v>
      </c>
      <c r="V6" s="13" t="s">
        <v>46</v>
      </c>
      <c r="W6" s="13" t="s">
        <v>56</v>
      </c>
      <c r="X6" s="13" t="s">
        <v>50</v>
      </c>
      <c r="Y6" s="13" t="s">
        <v>47</v>
      </c>
      <c r="Z6" s="13" t="s">
        <v>50</v>
      </c>
      <c r="AA6" s="13" t="s">
        <v>42</v>
      </c>
      <c r="AB6" s="13" t="s">
        <v>58</v>
      </c>
      <c r="AC6" s="13" t="s">
        <v>41</v>
      </c>
      <c r="AD6" s="13" t="s">
        <v>58</v>
      </c>
      <c r="AE6" s="13" t="s">
        <v>42</v>
      </c>
      <c r="AF6" s="13" t="s">
        <v>46</v>
      </c>
      <c r="AG6" s="13" t="s">
        <v>47</v>
      </c>
      <c r="AH6" s="13" t="s">
        <v>46</v>
      </c>
      <c r="AI6" s="13" t="s">
        <v>42</v>
      </c>
      <c r="AJ6" s="13" t="s">
        <v>47</v>
      </c>
      <c r="AK6" s="13" t="s">
        <v>46</v>
      </c>
      <c r="AL6" s="13" t="s">
        <v>43</v>
      </c>
      <c r="AM6" s="13" t="s">
        <v>47</v>
      </c>
      <c r="AN6" s="13" t="s">
        <v>40</v>
      </c>
      <c r="AO6" s="13" t="s">
        <v>48</v>
      </c>
      <c r="AP6" s="14" t="s">
        <v>58</v>
      </c>
      <c r="AQ6" s="13" t="s">
        <v>46</v>
      </c>
      <c r="AR6" s="13" t="s">
        <v>64</v>
      </c>
    </row>
    <row r="7" spans="1:44" x14ac:dyDescent="0.25">
      <c r="J7" s="51" t="s">
        <v>65</v>
      </c>
      <c r="K7" s="52">
        <v>800</v>
      </c>
      <c r="L7" s="20"/>
      <c r="M7" s="18"/>
      <c r="N7" s="3"/>
      <c r="O7" s="4"/>
      <c r="P7" s="4"/>
      <c r="Q7" s="12" t="s">
        <v>66</v>
      </c>
      <c r="R7" s="13" t="s">
        <v>42</v>
      </c>
      <c r="S7" s="13" t="s">
        <v>40</v>
      </c>
      <c r="T7" s="13" t="s">
        <v>41</v>
      </c>
      <c r="U7" s="13" t="s">
        <v>59</v>
      </c>
      <c r="V7" s="13" t="s">
        <v>40</v>
      </c>
      <c r="W7" s="13" t="s">
        <v>43</v>
      </c>
      <c r="X7" s="13" t="s">
        <v>58</v>
      </c>
      <c r="Y7" s="13" t="s">
        <v>43</v>
      </c>
      <c r="Z7" s="13" t="s">
        <v>58</v>
      </c>
      <c r="AA7" s="13" t="s">
        <v>43</v>
      </c>
      <c r="AB7" s="13" t="s">
        <v>44</v>
      </c>
      <c r="AC7" s="13" t="s">
        <v>58</v>
      </c>
      <c r="AD7" s="13" t="s">
        <v>48</v>
      </c>
      <c r="AE7" s="13" t="s">
        <v>48</v>
      </c>
      <c r="AF7" s="13" t="s">
        <v>40</v>
      </c>
      <c r="AG7" s="13" t="s">
        <v>41</v>
      </c>
      <c r="AH7" s="13" t="s">
        <v>40</v>
      </c>
      <c r="AI7" s="13" t="s">
        <v>48</v>
      </c>
      <c r="AJ7" s="13" t="s">
        <v>43</v>
      </c>
      <c r="AK7" s="13" t="s">
        <v>40</v>
      </c>
      <c r="AL7" s="13" t="s">
        <v>40</v>
      </c>
      <c r="AM7" s="13" t="s">
        <v>42</v>
      </c>
      <c r="AN7" s="13" t="s">
        <v>42</v>
      </c>
      <c r="AO7" s="13" t="s">
        <v>43</v>
      </c>
      <c r="AP7" s="14" t="s">
        <v>41</v>
      </c>
      <c r="AQ7" s="13" t="s">
        <v>60</v>
      </c>
      <c r="AR7" s="13" t="s">
        <v>58</v>
      </c>
    </row>
    <row r="8" spans="1:44" x14ac:dyDescent="0.25">
      <c r="J8" s="53" t="s">
        <v>67</v>
      </c>
      <c r="K8" s="54">
        <v>200</v>
      </c>
      <c r="L8" s="20"/>
      <c r="M8" s="21" t="s">
        <v>68</v>
      </c>
      <c r="N8" s="3"/>
      <c r="O8" s="22"/>
      <c r="P8" s="4"/>
      <c r="Q8" s="12" t="s">
        <v>69</v>
      </c>
      <c r="R8" s="13" t="s">
        <v>40</v>
      </c>
      <c r="S8" s="13" t="s">
        <v>54</v>
      </c>
      <c r="T8" s="13" t="s">
        <v>46</v>
      </c>
      <c r="U8" s="13" t="s">
        <v>40</v>
      </c>
      <c r="V8" s="13" t="s">
        <v>49</v>
      </c>
      <c r="W8" s="13" t="s">
        <v>59</v>
      </c>
      <c r="X8" s="13" t="s">
        <v>50</v>
      </c>
      <c r="Y8" s="13" t="s">
        <v>59</v>
      </c>
      <c r="Z8" s="13" t="s">
        <v>50</v>
      </c>
      <c r="AA8" s="13" t="s">
        <v>57</v>
      </c>
      <c r="AB8" s="13" t="s">
        <v>46</v>
      </c>
      <c r="AC8" s="13" t="s">
        <v>44</v>
      </c>
      <c r="AD8" s="13" t="s">
        <v>42</v>
      </c>
      <c r="AE8" s="13" t="s">
        <v>45</v>
      </c>
      <c r="AF8" s="13" t="s">
        <v>55</v>
      </c>
      <c r="AG8" s="13" t="s">
        <v>50</v>
      </c>
      <c r="AH8" s="13" t="s">
        <v>54</v>
      </c>
      <c r="AI8" s="13" t="s">
        <v>59</v>
      </c>
      <c r="AJ8" s="13" t="s">
        <v>57</v>
      </c>
      <c r="AK8" s="13" t="s">
        <v>59</v>
      </c>
      <c r="AL8" s="13" t="s">
        <v>44</v>
      </c>
      <c r="AM8" s="13" t="s">
        <v>41</v>
      </c>
      <c r="AN8" s="13" t="s">
        <v>60</v>
      </c>
      <c r="AO8" s="13" t="s">
        <v>46</v>
      </c>
      <c r="AP8" s="14" t="s">
        <v>45</v>
      </c>
      <c r="AQ8" s="13" t="s">
        <v>54</v>
      </c>
      <c r="AR8" s="13" t="s">
        <v>56</v>
      </c>
    </row>
    <row r="9" spans="1:44" x14ac:dyDescent="0.25">
      <c r="A9" s="1" t="s">
        <v>70</v>
      </c>
      <c r="C9" s="154">
        <f ca="1">TODAY()</f>
        <v>46213</v>
      </c>
      <c r="D9" s="154"/>
      <c r="E9" s="154"/>
      <c r="F9" s="154"/>
      <c r="G9" s="154"/>
      <c r="J9" s="53" t="s">
        <v>71</v>
      </c>
      <c r="K9" s="55">
        <v>500</v>
      </c>
      <c r="L9" s="23"/>
      <c r="M9" s="23">
        <f>SUM(K7:K12)</f>
        <v>1767.5</v>
      </c>
      <c r="N9" s="24"/>
      <c r="O9" s="4"/>
      <c r="P9" s="4"/>
      <c r="Q9" s="12" t="s">
        <v>72</v>
      </c>
      <c r="R9" s="13" t="s">
        <v>43</v>
      </c>
      <c r="S9" s="13" t="s">
        <v>55</v>
      </c>
      <c r="T9" s="13" t="s">
        <v>56</v>
      </c>
      <c r="U9" s="13" t="s">
        <v>43</v>
      </c>
      <c r="V9" s="13" t="s">
        <v>59</v>
      </c>
      <c r="W9" s="13" t="s">
        <v>39</v>
      </c>
      <c r="X9" s="13" t="s">
        <v>44</v>
      </c>
      <c r="Y9" s="13" t="s">
        <v>50</v>
      </c>
      <c r="Z9" s="13" t="s">
        <v>44</v>
      </c>
      <c r="AA9" s="13" t="s">
        <v>55</v>
      </c>
      <c r="AB9" s="13" t="s">
        <v>48</v>
      </c>
      <c r="AC9" s="13" t="s">
        <v>48</v>
      </c>
      <c r="AD9" s="13" t="s">
        <v>46</v>
      </c>
      <c r="AE9" s="13" t="s">
        <v>57</v>
      </c>
      <c r="AF9" s="13" t="s">
        <v>49</v>
      </c>
      <c r="AG9" s="13" t="s">
        <v>47</v>
      </c>
      <c r="AH9" s="13" t="s">
        <v>54</v>
      </c>
      <c r="AI9" s="13" t="s">
        <v>55</v>
      </c>
      <c r="AJ9" s="13" t="s">
        <v>44</v>
      </c>
      <c r="AK9" s="13" t="s">
        <v>49</v>
      </c>
      <c r="AL9" s="13" t="s">
        <v>41</v>
      </c>
      <c r="AM9" s="13" t="s">
        <v>41</v>
      </c>
      <c r="AN9" s="13" t="s">
        <v>60</v>
      </c>
      <c r="AO9" s="13" t="s">
        <v>48</v>
      </c>
      <c r="AP9" s="14" t="s">
        <v>58</v>
      </c>
      <c r="AQ9" s="13" t="s">
        <v>59</v>
      </c>
      <c r="AR9" s="13" t="s">
        <v>64</v>
      </c>
    </row>
    <row r="10" spans="1:44" x14ac:dyDescent="0.25">
      <c r="J10" s="53" t="s">
        <v>73</v>
      </c>
      <c r="K10" s="55">
        <v>200</v>
      </c>
      <c r="L10" s="25"/>
      <c r="M10" s="23"/>
      <c r="N10" s="26"/>
      <c r="O10" s="4"/>
      <c r="P10" s="4"/>
      <c r="Q10" s="12" t="s">
        <v>74</v>
      </c>
      <c r="R10" s="13" t="s">
        <v>44</v>
      </c>
      <c r="S10" s="13" t="s">
        <v>50</v>
      </c>
      <c r="T10" s="13" t="s">
        <v>50</v>
      </c>
      <c r="U10" s="13" t="s">
        <v>58</v>
      </c>
      <c r="V10" s="13" t="s">
        <v>50</v>
      </c>
      <c r="W10" s="13" t="s">
        <v>44</v>
      </c>
      <c r="X10" s="13" t="s">
        <v>75</v>
      </c>
      <c r="Y10" s="13" t="s">
        <v>42</v>
      </c>
      <c r="Z10" s="13" t="s">
        <v>49</v>
      </c>
      <c r="AA10" s="13" t="s">
        <v>46</v>
      </c>
      <c r="AB10" s="13" t="s">
        <v>55</v>
      </c>
      <c r="AC10" s="13" t="s">
        <v>59</v>
      </c>
      <c r="AD10" s="13" t="s">
        <v>54</v>
      </c>
      <c r="AE10" s="13" t="s">
        <v>45</v>
      </c>
      <c r="AF10" s="13" t="s">
        <v>46</v>
      </c>
      <c r="AG10" s="13" t="s">
        <v>42</v>
      </c>
      <c r="AH10" s="13" t="s">
        <v>46</v>
      </c>
      <c r="AI10" s="13" t="s">
        <v>44</v>
      </c>
      <c r="AJ10" s="13" t="s">
        <v>42</v>
      </c>
      <c r="AK10" s="13" t="s">
        <v>44</v>
      </c>
      <c r="AL10" s="13" t="s">
        <v>56</v>
      </c>
      <c r="AM10" s="13" t="s">
        <v>50</v>
      </c>
      <c r="AN10" s="13" t="s">
        <v>41</v>
      </c>
      <c r="AO10" s="13" t="s">
        <v>42</v>
      </c>
      <c r="AP10" s="14" t="s">
        <v>54</v>
      </c>
      <c r="AQ10" s="13" t="s">
        <v>45</v>
      </c>
      <c r="AR10" s="13" t="s">
        <v>55</v>
      </c>
    </row>
    <row r="11" spans="1:44" x14ac:dyDescent="0.25">
      <c r="A11" s="155"/>
      <c r="B11" s="155"/>
      <c r="C11" s="155"/>
      <c r="D11" s="155"/>
      <c r="E11" s="155"/>
      <c r="F11" s="155"/>
      <c r="G11" s="155"/>
      <c r="H11" s="155"/>
      <c r="I11" s="155"/>
      <c r="J11" s="53" t="s">
        <v>76</v>
      </c>
      <c r="K11" s="56">
        <v>0</v>
      </c>
      <c r="L11" s="25"/>
      <c r="M11" s="2"/>
      <c r="O11" s="4"/>
      <c r="P11" s="4"/>
      <c r="Q11" s="12" t="s">
        <v>77</v>
      </c>
      <c r="R11" s="13" t="s">
        <v>41</v>
      </c>
      <c r="S11" s="13" t="s">
        <v>56</v>
      </c>
      <c r="T11" s="13" t="s">
        <v>47</v>
      </c>
      <c r="U11" s="13" t="s">
        <v>43</v>
      </c>
      <c r="V11" s="13" t="s">
        <v>59</v>
      </c>
      <c r="W11" s="13" t="s">
        <v>50</v>
      </c>
      <c r="X11" s="13" t="s">
        <v>42</v>
      </c>
      <c r="Y11" s="13" t="s">
        <v>75</v>
      </c>
      <c r="Z11" s="13" t="s">
        <v>42</v>
      </c>
      <c r="AA11" s="13" t="s">
        <v>46</v>
      </c>
      <c r="AB11" s="13" t="s">
        <v>50</v>
      </c>
      <c r="AC11" s="13" t="s">
        <v>45</v>
      </c>
      <c r="AD11" s="13" t="s">
        <v>49</v>
      </c>
      <c r="AE11" s="13" t="s">
        <v>58</v>
      </c>
      <c r="AF11" s="13" t="s">
        <v>45</v>
      </c>
      <c r="AG11" s="13" t="s">
        <v>42</v>
      </c>
      <c r="AH11" s="13" t="s">
        <v>45</v>
      </c>
      <c r="AI11" s="13" t="s">
        <v>50</v>
      </c>
      <c r="AJ11" s="13" t="s">
        <v>39</v>
      </c>
      <c r="AK11" s="13" t="s">
        <v>50</v>
      </c>
      <c r="AL11" s="13" t="s">
        <v>45</v>
      </c>
      <c r="AM11" s="13" t="s">
        <v>47</v>
      </c>
      <c r="AN11" s="13" t="s">
        <v>60</v>
      </c>
      <c r="AO11" s="13" t="s">
        <v>57</v>
      </c>
      <c r="AP11" s="14" t="s">
        <v>55</v>
      </c>
      <c r="AQ11" s="13" t="s">
        <v>42</v>
      </c>
      <c r="AR11" s="13" t="s">
        <v>50</v>
      </c>
    </row>
    <row r="12" spans="1:44" ht="13.8" thickBot="1" x14ac:dyDescent="0.3">
      <c r="A12" s="27" t="s">
        <v>78</v>
      </c>
      <c r="B12" s="28"/>
      <c r="J12" s="59" t="s">
        <v>79</v>
      </c>
      <c r="K12" s="70">
        <f>M3</f>
        <v>67.5</v>
      </c>
      <c r="L12" s="2"/>
      <c r="M12" s="29"/>
      <c r="N12" s="4"/>
      <c r="O12" s="4"/>
      <c r="P12" s="4"/>
      <c r="Q12" s="12" t="s">
        <v>80</v>
      </c>
      <c r="R12" s="13" t="s">
        <v>44</v>
      </c>
      <c r="S12" s="13" t="s">
        <v>50</v>
      </c>
      <c r="T12" s="13" t="s">
        <v>50</v>
      </c>
      <c r="U12" s="13" t="s">
        <v>58</v>
      </c>
      <c r="V12" s="13" t="s">
        <v>50</v>
      </c>
      <c r="W12" s="13" t="s">
        <v>44</v>
      </c>
      <c r="X12" s="13" t="s">
        <v>49</v>
      </c>
      <c r="Y12" s="13" t="s">
        <v>42</v>
      </c>
      <c r="Z12" s="13" t="s">
        <v>49</v>
      </c>
      <c r="AA12" s="13" t="s">
        <v>46</v>
      </c>
      <c r="AB12" s="13" t="s">
        <v>55</v>
      </c>
      <c r="AC12" s="13" t="s">
        <v>59</v>
      </c>
      <c r="AD12" s="13" t="s">
        <v>54</v>
      </c>
      <c r="AE12" s="13" t="s">
        <v>45</v>
      </c>
      <c r="AF12" s="13" t="s">
        <v>46</v>
      </c>
      <c r="AG12" s="13" t="s">
        <v>42</v>
      </c>
      <c r="AH12" s="13" t="s">
        <v>46</v>
      </c>
      <c r="AI12" s="13" t="s">
        <v>44</v>
      </c>
      <c r="AJ12" s="13" t="s">
        <v>42</v>
      </c>
      <c r="AK12" s="13" t="s">
        <v>44</v>
      </c>
      <c r="AL12" s="13" t="s">
        <v>56</v>
      </c>
      <c r="AM12" s="13" t="s">
        <v>50</v>
      </c>
      <c r="AN12" s="13" t="s">
        <v>41</v>
      </c>
      <c r="AO12" s="13" t="s">
        <v>42</v>
      </c>
      <c r="AP12" s="14" t="s">
        <v>54</v>
      </c>
      <c r="AQ12" s="13" t="s">
        <v>45</v>
      </c>
      <c r="AR12" s="13" t="s">
        <v>59</v>
      </c>
    </row>
    <row r="13" spans="1:44" ht="15" customHeight="1" x14ac:dyDescent="0.25">
      <c r="G13" s="1" t="s">
        <v>81</v>
      </c>
      <c r="J13" s="51" t="s">
        <v>82</v>
      </c>
      <c r="K13" s="73">
        <f>M22*0.12</f>
        <v>240</v>
      </c>
      <c r="L13" s="157"/>
      <c r="M13" s="158"/>
      <c r="N13" s="26"/>
      <c r="O13" s="4"/>
      <c r="P13" s="4"/>
      <c r="Q13" s="12" t="s">
        <v>83</v>
      </c>
      <c r="R13" s="13" t="s">
        <v>43</v>
      </c>
      <c r="S13" s="13" t="s">
        <v>57</v>
      </c>
      <c r="T13" s="13" t="s">
        <v>42</v>
      </c>
      <c r="U13" s="13" t="s">
        <v>43</v>
      </c>
      <c r="V13" s="13" t="s">
        <v>57</v>
      </c>
      <c r="W13" s="13" t="s">
        <v>55</v>
      </c>
      <c r="X13" s="13" t="s">
        <v>46</v>
      </c>
      <c r="Y13" s="13" t="s">
        <v>46</v>
      </c>
      <c r="Z13" s="13" t="s">
        <v>46</v>
      </c>
      <c r="AA13" s="13" t="s">
        <v>54</v>
      </c>
      <c r="AB13" s="13" t="s">
        <v>58</v>
      </c>
      <c r="AC13" s="13" t="s">
        <v>48</v>
      </c>
      <c r="AD13" s="13" t="s">
        <v>46</v>
      </c>
      <c r="AE13" s="13" t="s">
        <v>42</v>
      </c>
      <c r="AF13" s="13" t="s">
        <v>56</v>
      </c>
      <c r="AG13" s="13" t="s">
        <v>48</v>
      </c>
      <c r="AH13" s="13" t="s">
        <v>57</v>
      </c>
      <c r="AI13" s="13" t="s">
        <v>55</v>
      </c>
      <c r="AJ13" s="13" t="s">
        <v>58</v>
      </c>
      <c r="AK13" s="13" t="s">
        <v>57</v>
      </c>
      <c r="AL13" s="13" t="s">
        <v>43</v>
      </c>
      <c r="AM13" s="13" t="s">
        <v>48</v>
      </c>
      <c r="AN13" s="13" t="s">
        <v>60</v>
      </c>
      <c r="AO13" s="13" t="s">
        <v>41</v>
      </c>
      <c r="AP13" s="14" t="s">
        <v>58</v>
      </c>
      <c r="AQ13" s="13" t="s">
        <v>56</v>
      </c>
      <c r="AR13" s="13" t="s">
        <v>56</v>
      </c>
    </row>
    <row r="14" spans="1:44" ht="15" customHeight="1" thickBot="1" x14ac:dyDescent="0.3">
      <c r="A14" s="1" t="s">
        <v>84</v>
      </c>
      <c r="J14" s="57" t="s">
        <v>85</v>
      </c>
      <c r="K14" s="58">
        <f>(M22+K10+K11)*0.12</f>
        <v>264</v>
      </c>
      <c r="L14" s="159"/>
      <c r="M14" s="160"/>
      <c r="N14" s="30"/>
      <c r="O14" s="4"/>
      <c r="P14" s="4"/>
      <c r="Q14" s="12" t="s">
        <v>86</v>
      </c>
      <c r="R14" s="13" t="s">
        <v>45</v>
      </c>
      <c r="S14" s="13" t="s">
        <v>58</v>
      </c>
      <c r="T14" s="13" t="s">
        <v>58</v>
      </c>
      <c r="U14" s="13" t="s">
        <v>44</v>
      </c>
      <c r="V14" s="13" t="s">
        <v>46</v>
      </c>
      <c r="W14" s="13" t="s">
        <v>48</v>
      </c>
      <c r="X14" s="13" t="s">
        <v>55</v>
      </c>
      <c r="Y14" s="13" t="s">
        <v>50</v>
      </c>
      <c r="Z14" s="13" t="s">
        <v>55</v>
      </c>
      <c r="AA14" s="13" t="s">
        <v>58</v>
      </c>
      <c r="AB14" s="13" t="s">
        <v>54</v>
      </c>
      <c r="AC14" s="13" t="s">
        <v>55</v>
      </c>
      <c r="AD14" s="13" t="s">
        <v>57</v>
      </c>
      <c r="AE14" s="13" t="s">
        <v>50</v>
      </c>
      <c r="AF14" s="13" t="s">
        <v>47</v>
      </c>
      <c r="AG14" s="13" t="s">
        <v>56</v>
      </c>
      <c r="AH14" s="13" t="s">
        <v>47</v>
      </c>
      <c r="AI14" s="13" t="s">
        <v>44</v>
      </c>
      <c r="AJ14" s="13" t="s">
        <v>50</v>
      </c>
      <c r="AK14" s="13" t="s">
        <v>48</v>
      </c>
      <c r="AL14" s="13" t="s">
        <v>46</v>
      </c>
      <c r="AM14" s="13" t="s">
        <v>42</v>
      </c>
      <c r="AN14" s="13" t="s">
        <v>48</v>
      </c>
      <c r="AO14" s="13" t="s">
        <v>45</v>
      </c>
      <c r="AP14" s="14" t="s">
        <v>56</v>
      </c>
      <c r="AQ14" s="13" t="s">
        <v>44</v>
      </c>
      <c r="AR14" s="13" t="s">
        <v>57</v>
      </c>
    </row>
    <row r="15" spans="1:44" ht="13.5" customHeight="1" thickBot="1" x14ac:dyDescent="0.3">
      <c r="J15" s="71"/>
      <c r="K15" s="72"/>
      <c r="L15" s="68"/>
      <c r="M15" s="31"/>
      <c r="N15" s="31"/>
      <c r="O15" s="4"/>
      <c r="P15" s="4"/>
      <c r="Q15" s="12" t="s">
        <v>87</v>
      </c>
      <c r="R15" s="13" t="s">
        <v>46</v>
      </c>
      <c r="S15" s="13" t="s">
        <v>47</v>
      </c>
      <c r="T15" s="13" t="s">
        <v>41</v>
      </c>
      <c r="U15" s="13" t="s">
        <v>58</v>
      </c>
      <c r="V15" s="13" t="s">
        <v>44</v>
      </c>
      <c r="W15" s="13" t="s">
        <v>48</v>
      </c>
      <c r="X15" s="13" t="s">
        <v>59</v>
      </c>
      <c r="Y15" s="13" t="s">
        <v>45</v>
      </c>
      <c r="Z15" s="13" t="s">
        <v>59</v>
      </c>
      <c r="AA15" s="13" t="s">
        <v>48</v>
      </c>
      <c r="AB15" s="13" t="s">
        <v>55</v>
      </c>
      <c r="AC15" s="13" t="s">
        <v>49</v>
      </c>
      <c r="AD15" s="13" t="s">
        <v>42</v>
      </c>
      <c r="AE15" s="13" t="s">
        <v>44</v>
      </c>
      <c r="AF15" s="13" t="s">
        <v>48</v>
      </c>
      <c r="AG15" s="13" t="s">
        <v>55</v>
      </c>
      <c r="AH15" s="13" t="s">
        <v>48</v>
      </c>
      <c r="AI15" s="13" t="s">
        <v>58</v>
      </c>
      <c r="AJ15" s="13" t="s">
        <v>42</v>
      </c>
      <c r="AK15" s="13" t="s">
        <v>41</v>
      </c>
      <c r="AL15" s="13" t="s">
        <v>56</v>
      </c>
      <c r="AM15" s="13" t="s">
        <v>50</v>
      </c>
      <c r="AN15" s="13" t="s">
        <v>41</v>
      </c>
      <c r="AO15" s="13" t="s">
        <v>42</v>
      </c>
      <c r="AP15" s="14" t="s">
        <v>55</v>
      </c>
      <c r="AQ15" s="13" t="s">
        <v>58</v>
      </c>
      <c r="AR15" s="13" t="s">
        <v>50</v>
      </c>
    </row>
    <row r="16" spans="1:44" ht="15" customHeight="1" thickBot="1" x14ac:dyDescent="0.3">
      <c r="A16" s="32" t="s">
        <v>2</v>
      </c>
      <c r="B16" s="218" t="s">
        <v>174</v>
      </c>
      <c r="C16" s="219"/>
      <c r="D16" s="219"/>
      <c r="E16" s="219"/>
      <c r="F16" s="219" t="s">
        <v>89</v>
      </c>
      <c r="G16" s="220"/>
      <c r="H16" s="218" t="s">
        <v>90</v>
      </c>
      <c r="I16" s="221"/>
      <c r="J16" s="60"/>
      <c r="K16" s="61"/>
      <c r="L16" s="62"/>
      <c r="M16" s="33"/>
      <c r="N16" s="34"/>
      <c r="O16" s="4"/>
      <c r="P16" s="4"/>
      <c r="Q16" s="12" t="s">
        <v>91</v>
      </c>
      <c r="R16" s="13" t="s">
        <v>47</v>
      </c>
      <c r="S16" s="13" t="s">
        <v>56</v>
      </c>
      <c r="T16" s="13" t="s">
        <v>58</v>
      </c>
      <c r="U16" s="13" t="s">
        <v>48</v>
      </c>
      <c r="V16" s="13" t="s">
        <v>42</v>
      </c>
      <c r="W16" s="13" t="s">
        <v>46</v>
      </c>
      <c r="X16" s="13" t="s">
        <v>54</v>
      </c>
      <c r="Y16" s="13" t="s">
        <v>49</v>
      </c>
      <c r="Z16" s="13" t="s">
        <v>54</v>
      </c>
      <c r="AA16" s="13" t="s">
        <v>46</v>
      </c>
      <c r="AB16" s="13" t="s">
        <v>92</v>
      </c>
      <c r="AC16" s="13" t="s">
        <v>42</v>
      </c>
      <c r="AD16" s="13" t="s">
        <v>39</v>
      </c>
      <c r="AE16" s="13" t="s">
        <v>44</v>
      </c>
      <c r="AF16" s="13" t="s">
        <v>50</v>
      </c>
      <c r="AG16" s="13" t="s">
        <v>55</v>
      </c>
      <c r="AH16" s="13" t="s">
        <v>50</v>
      </c>
      <c r="AI16" s="13" t="s">
        <v>50</v>
      </c>
      <c r="AJ16" s="13" t="s">
        <v>49</v>
      </c>
      <c r="AK16" s="13" t="s">
        <v>50</v>
      </c>
      <c r="AL16" s="13" t="s">
        <v>57</v>
      </c>
      <c r="AM16" s="13" t="s">
        <v>58</v>
      </c>
      <c r="AN16" s="13" t="s">
        <v>40</v>
      </c>
      <c r="AO16" s="13" t="s">
        <v>59</v>
      </c>
      <c r="AP16" s="14" t="s">
        <v>49</v>
      </c>
      <c r="AQ16" s="13" t="s">
        <v>57</v>
      </c>
      <c r="AR16" s="13" t="s">
        <v>64</v>
      </c>
    </row>
    <row r="17" spans="1:44" ht="14.25" customHeight="1" x14ac:dyDescent="0.25">
      <c r="A17" s="165">
        <v>1</v>
      </c>
      <c r="B17" s="185" t="s">
        <v>238</v>
      </c>
      <c r="C17" s="186"/>
      <c r="D17" s="186"/>
      <c r="E17" s="187"/>
      <c r="F17" s="173">
        <v>27000</v>
      </c>
      <c r="G17" s="174"/>
      <c r="H17" s="177" t="s">
        <v>175</v>
      </c>
      <c r="I17" s="178"/>
      <c r="J17" s="60"/>
      <c r="K17" s="42"/>
      <c r="L17" s="34"/>
      <c r="M17" s="31"/>
      <c r="N17" s="3"/>
      <c r="O17" s="4"/>
      <c r="P17" s="4"/>
      <c r="Q17" s="12" t="s">
        <v>94</v>
      </c>
      <c r="R17" s="13" t="s">
        <v>48</v>
      </c>
      <c r="S17" s="13" t="s">
        <v>50</v>
      </c>
      <c r="T17" s="13" t="s">
        <v>42</v>
      </c>
      <c r="U17" s="13" t="s">
        <v>48</v>
      </c>
      <c r="V17" s="13" t="s">
        <v>45</v>
      </c>
      <c r="W17" s="13" t="s">
        <v>57</v>
      </c>
      <c r="X17" s="13" t="s">
        <v>45</v>
      </c>
      <c r="Y17" s="13" t="s">
        <v>58</v>
      </c>
      <c r="Z17" s="13" t="s">
        <v>45</v>
      </c>
      <c r="AA17" s="13" t="s">
        <v>42</v>
      </c>
      <c r="AB17" s="13" t="s">
        <v>95</v>
      </c>
      <c r="AC17" s="13" t="s">
        <v>44</v>
      </c>
      <c r="AD17" s="13" t="s">
        <v>44</v>
      </c>
      <c r="AE17" s="13" t="s">
        <v>59</v>
      </c>
      <c r="AF17" s="13" t="s">
        <v>50</v>
      </c>
      <c r="AG17" s="13" t="s">
        <v>58</v>
      </c>
      <c r="AH17" s="13" t="s">
        <v>45</v>
      </c>
      <c r="AI17" s="13" t="s">
        <v>42</v>
      </c>
      <c r="AJ17" s="13" t="s">
        <v>58</v>
      </c>
      <c r="AK17" s="13" t="s">
        <v>45</v>
      </c>
      <c r="AL17" s="13" t="s">
        <v>41</v>
      </c>
      <c r="AM17" s="13" t="s">
        <v>58</v>
      </c>
      <c r="AN17" s="13" t="s">
        <v>43</v>
      </c>
      <c r="AO17" s="13" t="s">
        <v>47</v>
      </c>
      <c r="AP17" s="14" t="s">
        <v>44</v>
      </c>
      <c r="AQ17" s="13" t="s">
        <v>50</v>
      </c>
      <c r="AR17" s="13" t="s">
        <v>45</v>
      </c>
    </row>
    <row r="18" spans="1:44" ht="39" customHeight="1" thickBot="1" x14ac:dyDescent="0.3">
      <c r="A18" s="166"/>
      <c r="B18" s="188"/>
      <c r="C18" s="189"/>
      <c r="D18" s="189"/>
      <c r="E18" s="190"/>
      <c r="F18" s="175"/>
      <c r="G18" s="176"/>
      <c r="H18" s="179"/>
      <c r="I18" s="180"/>
      <c r="J18" s="60"/>
      <c r="K18" s="42">
        <f>8000/1274</f>
        <v>6.2794348508634226</v>
      </c>
      <c r="L18" s="34"/>
      <c r="M18" s="31"/>
      <c r="N18" s="3"/>
      <c r="O18" s="4"/>
      <c r="P18" s="4"/>
      <c r="Q18" s="12" t="s">
        <v>94</v>
      </c>
      <c r="R18" s="13" t="s">
        <v>48</v>
      </c>
      <c r="S18" s="13" t="s">
        <v>50</v>
      </c>
      <c r="T18" s="13" t="s">
        <v>42</v>
      </c>
      <c r="U18" s="13" t="s">
        <v>48</v>
      </c>
      <c r="V18" s="13" t="s">
        <v>45</v>
      </c>
      <c r="W18" s="13" t="s">
        <v>57</v>
      </c>
      <c r="X18" s="13" t="s">
        <v>45</v>
      </c>
      <c r="Y18" s="13" t="s">
        <v>58</v>
      </c>
      <c r="Z18" s="13" t="s">
        <v>45</v>
      </c>
      <c r="AA18" s="13" t="s">
        <v>42</v>
      </c>
      <c r="AB18" s="13" t="s">
        <v>95</v>
      </c>
      <c r="AC18" s="13" t="s">
        <v>44</v>
      </c>
      <c r="AD18" s="13" t="s">
        <v>44</v>
      </c>
      <c r="AE18" s="13" t="s">
        <v>59</v>
      </c>
      <c r="AF18" s="13" t="s">
        <v>50</v>
      </c>
      <c r="AG18" s="13" t="s">
        <v>58</v>
      </c>
      <c r="AH18" s="13" t="s">
        <v>45</v>
      </c>
      <c r="AI18" s="13" t="s">
        <v>42</v>
      </c>
      <c r="AJ18" s="13" t="s">
        <v>58</v>
      </c>
      <c r="AK18" s="13" t="s">
        <v>45</v>
      </c>
      <c r="AL18" s="13" t="s">
        <v>41</v>
      </c>
      <c r="AM18" s="13" t="s">
        <v>58</v>
      </c>
      <c r="AN18" s="13" t="s">
        <v>43</v>
      </c>
      <c r="AO18" s="13" t="s">
        <v>47</v>
      </c>
      <c r="AP18" s="14" t="s">
        <v>44</v>
      </c>
      <c r="AQ18" s="13" t="s">
        <v>50</v>
      </c>
      <c r="AR18" s="13" t="s">
        <v>45</v>
      </c>
    </row>
    <row r="19" spans="1:44" x14ac:dyDescent="0.25">
      <c r="J19" s="60"/>
      <c r="K19" s="42"/>
      <c r="L19" s="34"/>
      <c r="M19" s="31"/>
      <c r="N19" s="3"/>
      <c r="O19" s="4"/>
      <c r="P19" s="4"/>
      <c r="Q19" s="12" t="s">
        <v>96</v>
      </c>
      <c r="R19" s="13" t="s">
        <v>40</v>
      </c>
      <c r="S19" s="13" t="s">
        <v>49</v>
      </c>
      <c r="T19" s="13" t="s">
        <v>46</v>
      </c>
      <c r="U19" s="13" t="s">
        <v>40</v>
      </c>
      <c r="V19" s="13" t="s">
        <v>55</v>
      </c>
      <c r="W19" s="13" t="s">
        <v>49</v>
      </c>
      <c r="X19" s="13" t="s">
        <v>46</v>
      </c>
      <c r="Y19" s="13" t="s">
        <v>45</v>
      </c>
      <c r="Z19" s="13" t="s">
        <v>46</v>
      </c>
      <c r="AA19" s="13" t="s">
        <v>56</v>
      </c>
      <c r="AB19" s="13" t="s">
        <v>97</v>
      </c>
      <c r="AC19" s="13" t="s">
        <v>48</v>
      </c>
      <c r="AD19" s="13" t="s">
        <v>50</v>
      </c>
      <c r="AE19" s="13" t="s">
        <v>50</v>
      </c>
      <c r="AF19" s="13" t="s">
        <v>39</v>
      </c>
      <c r="AG19" s="13" t="s">
        <v>58</v>
      </c>
      <c r="AH19" s="13" t="s">
        <v>49</v>
      </c>
      <c r="AI19" s="13" t="s">
        <v>59</v>
      </c>
      <c r="AJ19" s="13" t="s">
        <v>46</v>
      </c>
      <c r="AK19" s="13" t="s">
        <v>49</v>
      </c>
      <c r="AL19" s="13" t="s">
        <v>48</v>
      </c>
      <c r="AM19" s="13" t="s">
        <v>43</v>
      </c>
      <c r="AN19" s="13" t="s">
        <v>60</v>
      </c>
      <c r="AO19" s="13" t="s">
        <v>47</v>
      </c>
      <c r="AP19" s="14" t="s">
        <v>44</v>
      </c>
      <c r="AQ19" s="13" t="s">
        <v>49</v>
      </c>
      <c r="AR19" s="13" t="s">
        <v>64</v>
      </c>
    </row>
    <row r="20" spans="1:44" ht="13.5" customHeight="1" thickBot="1" x14ac:dyDescent="0.3">
      <c r="A20" s="181" t="s">
        <v>98</v>
      </c>
      <c r="B20" s="181"/>
      <c r="C20" s="181"/>
      <c r="D20" s="181"/>
      <c r="E20" s="181"/>
      <c r="F20" s="181"/>
      <c r="G20" s="181"/>
      <c r="H20" s="181"/>
      <c r="I20" s="181"/>
      <c r="J20" s="60"/>
      <c r="K20" s="63"/>
      <c r="L20" s="64"/>
      <c r="M20" s="35"/>
      <c r="N20" s="3"/>
      <c r="O20" s="4"/>
      <c r="P20" s="4"/>
      <c r="Q20" s="12" t="s">
        <v>99</v>
      </c>
      <c r="R20" s="13" t="s">
        <v>48</v>
      </c>
      <c r="S20" s="13" t="s">
        <v>44</v>
      </c>
      <c r="T20" s="13" t="s">
        <v>47</v>
      </c>
      <c r="U20" s="13" t="s">
        <v>41</v>
      </c>
      <c r="V20" s="13" t="s">
        <v>50</v>
      </c>
      <c r="W20" s="13" t="s">
        <v>47</v>
      </c>
      <c r="X20" s="13" t="s">
        <v>42</v>
      </c>
      <c r="Y20" s="13" t="s">
        <v>42</v>
      </c>
      <c r="Z20" s="13" t="s">
        <v>42</v>
      </c>
      <c r="AA20" s="13" t="s">
        <v>48</v>
      </c>
      <c r="AB20" s="13" t="s">
        <v>100</v>
      </c>
      <c r="AC20" s="13" t="s">
        <v>55</v>
      </c>
      <c r="AD20" s="13" t="s">
        <v>55</v>
      </c>
      <c r="AE20" s="13" t="s">
        <v>58</v>
      </c>
      <c r="AF20" s="13" t="s">
        <v>58</v>
      </c>
      <c r="AG20" s="13" t="s">
        <v>75</v>
      </c>
      <c r="AH20" s="13" t="s">
        <v>58</v>
      </c>
      <c r="AI20" s="13" t="s">
        <v>58</v>
      </c>
      <c r="AJ20" s="13" t="s">
        <v>54</v>
      </c>
      <c r="AK20" s="13" t="s">
        <v>47</v>
      </c>
      <c r="AL20" s="13" t="s">
        <v>54</v>
      </c>
      <c r="AM20" s="13" t="s">
        <v>58</v>
      </c>
      <c r="AN20" s="13" t="s">
        <v>40</v>
      </c>
      <c r="AO20" s="13" t="s">
        <v>39</v>
      </c>
      <c r="AP20" s="14" t="s">
        <v>39</v>
      </c>
      <c r="AQ20" s="13" t="s">
        <v>46</v>
      </c>
      <c r="AR20" s="13" t="s">
        <v>44</v>
      </c>
    </row>
    <row r="21" spans="1:44" ht="15.75" customHeight="1" thickBot="1" x14ac:dyDescent="0.3">
      <c r="A21" s="151" t="s">
        <v>101</v>
      </c>
      <c r="B21" s="151"/>
      <c r="C21" s="151"/>
      <c r="D21" s="151"/>
      <c r="E21" s="151"/>
      <c r="F21" s="151"/>
      <c r="G21" s="151"/>
      <c r="H21" s="151"/>
      <c r="I21" s="151"/>
      <c r="J21" s="60"/>
      <c r="K21" s="63"/>
      <c r="L21" s="64"/>
      <c r="M21" s="22"/>
      <c r="N21" s="36" t="s">
        <v>102</v>
      </c>
      <c r="O21" s="4"/>
      <c r="P21" s="4"/>
      <c r="Q21" s="12" t="s">
        <v>103</v>
      </c>
      <c r="R21" s="13" t="s">
        <v>40</v>
      </c>
      <c r="S21" s="13" t="s">
        <v>49</v>
      </c>
      <c r="T21" s="13" t="s">
        <v>46</v>
      </c>
      <c r="U21" s="13" t="s">
        <v>40</v>
      </c>
      <c r="V21" s="13" t="s">
        <v>54</v>
      </c>
      <c r="W21" s="13" t="s">
        <v>54</v>
      </c>
      <c r="X21" s="13" t="s">
        <v>46</v>
      </c>
      <c r="Y21" s="13" t="s">
        <v>45</v>
      </c>
      <c r="Z21" s="13" t="s">
        <v>46</v>
      </c>
      <c r="AA21" s="13" t="s">
        <v>57</v>
      </c>
      <c r="AB21" s="13" t="s">
        <v>97</v>
      </c>
      <c r="AC21" s="13" t="s">
        <v>48</v>
      </c>
      <c r="AD21" s="13" t="s">
        <v>50</v>
      </c>
      <c r="AE21" s="13" t="s">
        <v>45</v>
      </c>
      <c r="AF21" s="13" t="s">
        <v>49</v>
      </c>
      <c r="AG21" s="13" t="s">
        <v>58</v>
      </c>
      <c r="AH21" s="13" t="s">
        <v>39</v>
      </c>
      <c r="AI21" s="13" t="s">
        <v>59</v>
      </c>
      <c r="AJ21" s="13" t="s">
        <v>46</v>
      </c>
      <c r="AK21" s="13" t="s">
        <v>49</v>
      </c>
      <c r="AL21" s="13" t="s">
        <v>48</v>
      </c>
      <c r="AM21" s="13" t="s">
        <v>41</v>
      </c>
      <c r="AN21" s="13" t="s">
        <v>60</v>
      </c>
      <c r="AO21" s="13" t="s">
        <v>48</v>
      </c>
      <c r="AP21" s="14" t="s">
        <v>46</v>
      </c>
      <c r="AQ21" s="13" t="s">
        <v>49</v>
      </c>
      <c r="AR21" s="13" t="s">
        <v>45</v>
      </c>
    </row>
    <row r="22" spans="1:44" ht="15" customHeight="1" thickBot="1" x14ac:dyDescent="0.3">
      <c r="A22" s="32" t="s">
        <v>2</v>
      </c>
      <c r="B22" s="218" t="s">
        <v>104</v>
      </c>
      <c r="C22" s="219"/>
      <c r="D22" s="220"/>
      <c r="E22" s="218" t="s">
        <v>105</v>
      </c>
      <c r="F22" s="219"/>
      <c r="G22" s="220"/>
      <c r="H22" s="218" t="s">
        <v>106</v>
      </c>
      <c r="I22" s="221"/>
      <c r="J22" s="75" t="s">
        <v>107</v>
      </c>
      <c r="K22" s="184" t="s">
        <v>108</v>
      </c>
      <c r="L22" s="184"/>
      <c r="M22" s="65">
        <f>K7+K8+K9+N22</f>
        <v>2000</v>
      </c>
      <c r="N22" s="37">
        <v>500</v>
      </c>
      <c r="O22" s="4"/>
      <c r="P22" s="4"/>
      <c r="Q22" s="12" t="s">
        <v>109</v>
      </c>
      <c r="R22" s="13" t="s">
        <v>41</v>
      </c>
      <c r="S22" s="13" t="s">
        <v>59</v>
      </c>
      <c r="T22" s="13" t="s">
        <v>42</v>
      </c>
      <c r="U22" s="13" t="s">
        <v>48</v>
      </c>
      <c r="V22" s="13" t="s">
        <v>59</v>
      </c>
      <c r="W22" s="13" t="s">
        <v>55</v>
      </c>
      <c r="X22" s="13" t="s">
        <v>44</v>
      </c>
      <c r="Y22" s="13" t="s">
        <v>50</v>
      </c>
      <c r="Z22" s="13" t="s">
        <v>44</v>
      </c>
      <c r="AA22" s="13" t="s">
        <v>55</v>
      </c>
      <c r="AB22" s="13" t="s">
        <v>110</v>
      </c>
      <c r="AC22" s="13" t="s">
        <v>58</v>
      </c>
      <c r="AD22" s="13" t="s">
        <v>50</v>
      </c>
      <c r="AE22" s="13" t="s">
        <v>42</v>
      </c>
      <c r="AF22" s="13" t="s">
        <v>59</v>
      </c>
      <c r="AG22" s="13" t="s">
        <v>58</v>
      </c>
      <c r="AH22" s="13" t="s">
        <v>59</v>
      </c>
      <c r="AI22" s="13" t="s">
        <v>54</v>
      </c>
      <c r="AJ22" s="13" t="s">
        <v>46</v>
      </c>
      <c r="AK22" s="13" t="s">
        <v>59</v>
      </c>
      <c r="AL22" s="13" t="s">
        <v>48</v>
      </c>
      <c r="AM22" s="13" t="s">
        <v>47</v>
      </c>
      <c r="AN22" s="13" t="s">
        <v>40</v>
      </c>
      <c r="AO22" s="13" t="s">
        <v>47</v>
      </c>
      <c r="AP22" s="14" t="s">
        <v>44</v>
      </c>
      <c r="AQ22" s="13" t="s">
        <v>42</v>
      </c>
      <c r="AR22" s="13" t="s">
        <v>57</v>
      </c>
    </row>
    <row r="23" spans="1:44" ht="13.5" customHeight="1" x14ac:dyDescent="0.25">
      <c r="A23" s="165">
        <v>1</v>
      </c>
      <c r="B23" s="185" t="s">
        <v>239</v>
      </c>
      <c r="C23" s="186"/>
      <c r="D23" s="187"/>
      <c r="E23" s="185" t="s">
        <v>240</v>
      </c>
      <c r="F23" s="186"/>
      <c r="G23" s="187"/>
      <c r="H23" s="248" t="s">
        <v>241</v>
      </c>
      <c r="I23" s="289"/>
      <c r="K23" s="195"/>
      <c r="L23" s="195"/>
      <c r="M23" s="22"/>
      <c r="O23" s="4"/>
      <c r="P23" s="4"/>
      <c r="Q23" s="12" t="s">
        <v>111</v>
      </c>
      <c r="R23" s="13" t="s">
        <v>41</v>
      </c>
      <c r="S23" s="13" t="s">
        <v>50</v>
      </c>
      <c r="T23" s="13" t="s">
        <v>47</v>
      </c>
      <c r="U23" s="13" t="s">
        <v>43</v>
      </c>
      <c r="V23" s="13" t="s">
        <v>57</v>
      </c>
      <c r="W23" s="13" t="s">
        <v>44</v>
      </c>
      <c r="X23" s="13" t="s">
        <v>42</v>
      </c>
      <c r="Y23" s="13" t="s">
        <v>39</v>
      </c>
      <c r="Z23" s="13" t="s">
        <v>42</v>
      </c>
      <c r="AA23" s="13" t="s">
        <v>58</v>
      </c>
      <c r="AB23" s="13" t="s">
        <v>95</v>
      </c>
      <c r="AC23" s="13" t="s">
        <v>42</v>
      </c>
      <c r="AD23" s="13" t="s">
        <v>49</v>
      </c>
      <c r="AE23" s="13" t="s">
        <v>58</v>
      </c>
      <c r="AF23" s="13" t="s">
        <v>46</v>
      </c>
      <c r="AG23" s="13" t="s">
        <v>54</v>
      </c>
      <c r="AH23" s="13" t="s">
        <v>46</v>
      </c>
      <c r="AI23" s="13" t="s">
        <v>46</v>
      </c>
      <c r="AJ23" s="13" t="s">
        <v>112</v>
      </c>
      <c r="AK23" s="13" t="s">
        <v>44</v>
      </c>
      <c r="AL23" s="13" t="s">
        <v>57</v>
      </c>
      <c r="AM23" s="13" t="s">
        <v>47</v>
      </c>
      <c r="AN23" s="13" t="s">
        <v>60</v>
      </c>
      <c r="AO23" s="13" t="s">
        <v>59</v>
      </c>
      <c r="AP23" s="14" t="s">
        <v>39</v>
      </c>
      <c r="AQ23" s="13" t="s">
        <v>45</v>
      </c>
      <c r="AR23" s="13" t="s">
        <v>50</v>
      </c>
    </row>
    <row r="24" spans="1:44" ht="28.95" customHeight="1" thickBot="1" x14ac:dyDescent="0.3">
      <c r="A24" s="166"/>
      <c r="B24" s="188"/>
      <c r="C24" s="189"/>
      <c r="D24" s="190"/>
      <c r="E24" s="188"/>
      <c r="F24" s="189"/>
      <c r="G24" s="190"/>
      <c r="H24" s="290"/>
      <c r="I24" s="291"/>
      <c r="L24" s="64">
        <v>0</v>
      </c>
      <c r="M24" s="22"/>
      <c r="N24" s="89"/>
      <c r="O24" s="4"/>
      <c r="P24" s="4"/>
      <c r="Q24" s="12" t="s">
        <v>113</v>
      </c>
      <c r="R24" s="13" t="s">
        <v>40</v>
      </c>
      <c r="S24" s="13" t="s">
        <v>49</v>
      </c>
      <c r="T24" s="13" t="s">
        <v>46</v>
      </c>
      <c r="U24" s="13" t="s">
        <v>40</v>
      </c>
      <c r="V24" s="13" t="s">
        <v>59</v>
      </c>
      <c r="W24" s="13" t="s">
        <v>49</v>
      </c>
      <c r="X24" s="13" t="s">
        <v>44</v>
      </c>
      <c r="Y24" s="13" t="s">
        <v>50</v>
      </c>
      <c r="Z24" s="13" t="s">
        <v>44</v>
      </c>
      <c r="AA24" s="13" t="s">
        <v>57</v>
      </c>
      <c r="AB24" s="13" t="s">
        <v>114</v>
      </c>
      <c r="AC24" s="13" t="s">
        <v>41</v>
      </c>
      <c r="AD24" s="13" t="s">
        <v>50</v>
      </c>
      <c r="AE24" s="13" t="s">
        <v>45</v>
      </c>
      <c r="AF24" s="13" t="s">
        <v>49</v>
      </c>
      <c r="AG24" s="13" t="s">
        <v>47</v>
      </c>
      <c r="AH24" s="13" t="s">
        <v>49</v>
      </c>
      <c r="AI24" s="13" t="s">
        <v>59</v>
      </c>
      <c r="AJ24" s="13" t="s">
        <v>44</v>
      </c>
      <c r="AK24" s="13" t="s">
        <v>39</v>
      </c>
      <c r="AL24" s="13" t="s">
        <v>41</v>
      </c>
      <c r="AM24" s="13" t="s">
        <v>43</v>
      </c>
      <c r="AN24" s="13" t="s">
        <v>60</v>
      </c>
      <c r="AO24" s="13" t="s">
        <v>48</v>
      </c>
      <c r="AP24" s="14" t="s">
        <v>44</v>
      </c>
      <c r="AQ24" s="13" t="s">
        <v>54</v>
      </c>
      <c r="AR24" s="13" t="s">
        <v>64</v>
      </c>
    </row>
    <row r="25" spans="1:44" ht="15" customHeight="1" thickBot="1" x14ac:dyDescent="0.3">
      <c r="J25" s="27"/>
      <c r="K25" s="195">
        <v>0</v>
      </c>
      <c r="L25" s="195"/>
      <c r="M25" s="66"/>
      <c r="N25" s="67"/>
      <c r="O25" s="4"/>
      <c r="P25" s="4"/>
      <c r="Q25" s="12" t="s">
        <v>115</v>
      </c>
      <c r="R25" s="13" t="s">
        <v>43</v>
      </c>
      <c r="S25" s="13" t="s">
        <v>47</v>
      </c>
      <c r="T25" s="13" t="s">
        <v>43</v>
      </c>
      <c r="U25" s="13" t="s">
        <v>40</v>
      </c>
      <c r="V25" s="13" t="s">
        <v>44</v>
      </c>
      <c r="W25" s="13" t="s">
        <v>41</v>
      </c>
      <c r="X25" s="13" t="s">
        <v>56</v>
      </c>
      <c r="Y25" s="13" t="s">
        <v>45</v>
      </c>
      <c r="Z25" s="13" t="s">
        <v>56</v>
      </c>
      <c r="AA25" s="13" t="s">
        <v>43</v>
      </c>
      <c r="AB25" s="13" t="s">
        <v>116</v>
      </c>
      <c r="AC25" s="13" t="s">
        <v>56</v>
      </c>
      <c r="AD25" s="13" t="s">
        <v>57</v>
      </c>
      <c r="AE25" s="13" t="s">
        <v>41</v>
      </c>
      <c r="AF25" s="13" t="s">
        <v>48</v>
      </c>
      <c r="AG25" s="13" t="s">
        <v>54</v>
      </c>
      <c r="AH25" s="13" t="s">
        <v>48</v>
      </c>
      <c r="AI25" s="13" t="s">
        <v>48</v>
      </c>
      <c r="AJ25" s="13" t="s">
        <v>57</v>
      </c>
      <c r="AK25" s="13" t="s">
        <v>41</v>
      </c>
      <c r="AL25" s="13" t="s">
        <v>75</v>
      </c>
      <c r="AM25" s="13" t="s">
        <v>48</v>
      </c>
      <c r="AN25" s="13" t="s">
        <v>60</v>
      </c>
      <c r="AO25" s="13" t="s">
        <v>39</v>
      </c>
      <c r="AP25" s="14" t="s">
        <v>55</v>
      </c>
      <c r="AQ25" s="13" t="s">
        <v>58</v>
      </c>
      <c r="AR25" s="13" t="s">
        <v>58</v>
      </c>
    </row>
    <row r="26" spans="1:44" x14ac:dyDescent="0.25">
      <c r="A26" s="78"/>
      <c r="B26" s="78"/>
      <c r="C26" s="85" t="s">
        <v>117</v>
      </c>
      <c r="D26" s="86"/>
      <c r="E26" s="279">
        <f>M22</f>
        <v>2000</v>
      </c>
      <c r="F26" s="279"/>
      <c r="G26" s="280"/>
      <c r="H26" s="78"/>
      <c r="I26" s="78"/>
      <c r="L26" s="28">
        <v>0</v>
      </c>
      <c r="M26" s="31"/>
      <c r="N26" s="30"/>
      <c r="O26" s="4"/>
      <c r="P26" s="4"/>
      <c r="Q26" s="12" t="s">
        <v>118</v>
      </c>
      <c r="R26" s="13" t="s">
        <v>49</v>
      </c>
      <c r="S26" s="13" t="s">
        <v>41</v>
      </c>
      <c r="T26" s="13" t="s">
        <v>47</v>
      </c>
      <c r="U26" s="13" t="s">
        <v>42</v>
      </c>
      <c r="V26" s="13" t="s">
        <v>41</v>
      </c>
      <c r="W26" s="13" t="s">
        <v>41</v>
      </c>
      <c r="X26" s="13" t="s">
        <v>50</v>
      </c>
      <c r="Y26" s="13" t="s">
        <v>47</v>
      </c>
      <c r="Z26" s="13" t="s">
        <v>50</v>
      </c>
      <c r="AA26" s="13" t="s">
        <v>48</v>
      </c>
      <c r="AB26" s="13" t="s">
        <v>119</v>
      </c>
      <c r="AC26" s="13" t="s">
        <v>50</v>
      </c>
      <c r="AD26" s="13" t="s">
        <v>58</v>
      </c>
      <c r="AE26" s="13" t="s">
        <v>58</v>
      </c>
      <c r="AF26" s="13" t="s">
        <v>43</v>
      </c>
      <c r="AG26" s="13" t="s">
        <v>58</v>
      </c>
      <c r="AH26" s="13" t="s">
        <v>41</v>
      </c>
      <c r="AI26" s="13" t="s">
        <v>47</v>
      </c>
      <c r="AJ26" s="13" t="s">
        <v>47</v>
      </c>
      <c r="AK26" s="13" t="s">
        <v>43</v>
      </c>
      <c r="AL26" s="13" t="s">
        <v>48</v>
      </c>
      <c r="AM26" s="13" t="s">
        <v>39</v>
      </c>
      <c r="AN26" s="13" t="s">
        <v>57</v>
      </c>
      <c r="AO26" s="13" t="s">
        <v>47</v>
      </c>
      <c r="AP26" s="14" t="s">
        <v>58</v>
      </c>
      <c r="AQ26" s="13" t="s">
        <v>43</v>
      </c>
      <c r="AR26" s="13" t="s">
        <v>58</v>
      </c>
    </row>
    <row r="27" spans="1:44" ht="15.75" customHeight="1" x14ac:dyDescent="0.25">
      <c r="A27" s="79"/>
      <c r="B27" s="81"/>
      <c r="C27" s="43" t="s">
        <v>120</v>
      </c>
      <c r="D27" s="44"/>
      <c r="E27" s="281">
        <f>K12</f>
        <v>67.5</v>
      </c>
      <c r="F27" s="281"/>
      <c r="G27" s="282"/>
      <c r="H27" s="82"/>
      <c r="I27" s="82"/>
      <c r="O27" s="4"/>
      <c r="P27" s="4"/>
      <c r="Q27" s="12" t="s">
        <v>121</v>
      </c>
      <c r="R27" s="13" t="s">
        <v>50</v>
      </c>
      <c r="S27" s="13" t="s">
        <v>60</v>
      </c>
      <c r="T27" s="13" t="s">
        <v>40</v>
      </c>
      <c r="U27" s="13" t="s">
        <v>42</v>
      </c>
      <c r="V27" s="13" t="s">
        <v>60</v>
      </c>
      <c r="W27" s="13" t="s">
        <v>60</v>
      </c>
      <c r="X27" s="13" t="s">
        <v>41</v>
      </c>
      <c r="Y27" s="13" t="s">
        <v>60</v>
      </c>
      <c r="Z27" s="13" t="s">
        <v>41</v>
      </c>
      <c r="AA27" s="13" t="s">
        <v>60</v>
      </c>
      <c r="AB27" s="13" t="s">
        <v>114</v>
      </c>
      <c r="AC27" s="13" t="s">
        <v>41</v>
      </c>
      <c r="AD27" s="13" t="s">
        <v>40</v>
      </c>
      <c r="AE27" s="13" t="s">
        <v>43</v>
      </c>
      <c r="AF27" s="13" t="s">
        <v>60</v>
      </c>
      <c r="AG27" s="13" t="s">
        <v>40</v>
      </c>
      <c r="AH27" s="13" t="s">
        <v>60</v>
      </c>
      <c r="AI27" s="13" t="s">
        <v>40</v>
      </c>
      <c r="AJ27" s="13" t="s">
        <v>60</v>
      </c>
      <c r="AK27" s="13" t="s">
        <v>60</v>
      </c>
      <c r="AL27" s="13" t="s">
        <v>60</v>
      </c>
      <c r="AM27" s="13" t="s">
        <v>57</v>
      </c>
      <c r="AN27" s="13" t="s">
        <v>59</v>
      </c>
      <c r="AO27" s="13" t="s">
        <v>60</v>
      </c>
      <c r="AP27" s="14" t="s">
        <v>40</v>
      </c>
      <c r="AQ27" s="13" t="s">
        <v>60</v>
      </c>
      <c r="AR27" s="13" t="s">
        <v>48</v>
      </c>
    </row>
    <row r="28" spans="1:44" ht="15.75" customHeight="1" thickBot="1" x14ac:dyDescent="0.3">
      <c r="C28" s="83" t="s">
        <v>122</v>
      </c>
      <c r="D28" s="84"/>
      <c r="E28" s="283">
        <v>0</v>
      </c>
      <c r="F28" s="283"/>
      <c r="G28" s="284"/>
      <c r="J28" s="1" t="s">
        <v>81</v>
      </c>
      <c r="N28" s="3"/>
      <c r="O28" s="4"/>
      <c r="P28" s="4"/>
      <c r="Q28" s="12" t="s">
        <v>123</v>
      </c>
      <c r="R28" s="50" t="s">
        <v>41</v>
      </c>
      <c r="S28" s="50" t="s">
        <v>58</v>
      </c>
      <c r="T28" s="50" t="s">
        <v>48</v>
      </c>
      <c r="U28" s="50" t="s">
        <v>43</v>
      </c>
      <c r="V28" s="50" t="s">
        <v>46</v>
      </c>
      <c r="W28" s="50" t="s">
        <v>48</v>
      </c>
      <c r="X28" s="50" t="s">
        <v>42</v>
      </c>
      <c r="Y28" s="50" t="s">
        <v>57</v>
      </c>
      <c r="Z28" s="50" t="s">
        <v>42</v>
      </c>
      <c r="AA28" s="50" t="s">
        <v>41</v>
      </c>
      <c r="AB28" s="50" t="s">
        <v>124</v>
      </c>
      <c r="AC28" s="50" t="s">
        <v>42</v>
      </c>
      <c r="AD28" s="50" t="s">
        <v>59</v>
      </c>
      <c r="AE28" s="50" t="s">
        <v>47</v>
      </c>
      <c r="AF28" s="50" t="s">
        <v>47</v>
      </c>
      <c r="AG28" s="50" t="s">
        <v>39</v>
      </c>
      <c r="AH28" s="50" t="s">
        <v>48</v>
      </c>
      <c r="AI28" s="50" t="s">
        <v>47</v>
      </c>
      <c r="AJ28" s="50" t="s">
        <v>59</v>
      </c>
      <c r="AK28" s="50" t="s">
        <v>48</v>
      </c>
      <c r="AL28" s="50" t="s">
        <v>39</v>
      </c>
      <c r="AM28" s="50" t="s">
        <v>47</v>
      </c>
      <c r="AN28" s="50" t="s">
        <v>60</v>
      </c>
      <c r="AO28" s="50" t="s">
        <v>75</v>
      </c>
      <c r="AP28" s="50" t="s">
        <v>49</v>
      </c>
      <c r="AQ28" s="50" t="s">
        <v>44</v>
      </c>
      <c r="AR28" s="50" t="s">
        <v>44</v>
      </c>
    </row>
    <row r="29" spans="1:44" ht="15.75" customHeight="1" x14ac:dyDescent="0.25">
      <c r="A29" s="28"/>
      <c r="B29" s="80"/>
      <c r="C29" s="285" t="s">
        <v>125</v>
      </c>
      <c r="D29" s="286"/>
      <c r="E29" s="272">
        <f>SUM(E26:G28)</f>
        <v>2067.5</v>
      </c>
      <c r="F29" s="272"/>
      <c r="G29" s="273"/>
      <c r="H29" s="80"/>
      <c r="I29" s="80"/>
      <c r="N29" s="3"/>
      <c r="O29" s="4"/>
      <c r="P29" s="4"/>
      <c r="Q29" s="38" t="s">
        <v>126</v>
      </c>
      <c r="R29" s="14" t="s">
        <v>48</v>
      </c>
      <c r="S29" s="14" t="s">
        <v>46</v>
      </c>
      <c r="T29" s="14" t="s">
        <v>58</v>
      </c>
      <c r="U29" s="14" t="s">
        <v>41</v>
      </c>
      <c r="V29" s="14" t="s">
        <v>45</v>
      </c>
      <c r="W29" s="14" t="s">
        <v>58</v>
      </c>
      <c r="X29" s="14" t="s">
        <v>54</v>
      </c>
      <c r="Y29" s="14" t="s">
        <v>55</v>
      </c>
      <c r="Z29" s="14" t="s">
        <v>54</v>
      </c>
      <c r="AA29" s="14" t="s">
        <v>58</v>
      </c>
      <c r="AB29" s="14" t="s">
        <v>100</v>
      </c>
      <c r="AC29" s="14" t="s">
        <v>55</v>
      </c>
      <c r="AD29" s="14" t="s">
        <v>49</v>
      </c>
      <c r="AE29" s="14" t="s">
        <v>44</v>
      </c>
      <c r="AF29" s="14" t="s">
        <v>44</v>
      </c>
      <c r="AG29" s="14" t="s">
        <v>39</v>
      </c>
      <c r="AH29" s="14" t="s">
        <v>46</v>
      </c>
      <c r="AI29" s="14" t="s">
        <v>44</v>
      </c>
      <c r="AJ29" s="14" t="s">
        <v>39</v>
      </c>
      <c r="AK29" s="14" t="s">
        <v>44</v>
      </c>
      <c r="AL29" s="14" t="s">
        <v>55</v>
      </c>
      <c r="AM29" s="14" t="s">
        <v>58</v>
      </c>
      <c r="AN29" s="14" t="s">
        <v>40</v>
      </c>
      <c r="AO29" s="14" t="s">
        <v>49</v>
      </c>
      <c r="AP29" s="14" t="s">
        <v>112</v>
      </c>
      <c r="AQ29" s="14" t="s">
        <v>50</v>
      </c>
      <c r="AR29" s="14" t="s">
        <v>50</v>
      </c>
    </row>
    <row r="30" spans="1:44" ht="15.75" customHeight="1" thickBot="1" x14ac:dyDescent="0.3">
      <c r="C30" s="287"/>
      <c r="D30" s="288"/>
      <c r="E30" s="274"/>
      <c r="F30" s="274"/>
      <c r="G30" s="275"/>
      <c r="M30" s="41"/>
      <c r="N30" s="4"/>
      <c r="Q30" s="12" t="s">
        <v>127</v>
      </c>
      <c r="R30" s="13" t="s">
        <v>40</v>
      </c>
      <c r="S30" s="13" t="s">
        <v>49</v>
      </c>
      <c r="T30" s="13" t="s">
        <v>46</v>
      </c>
      <c r="U30" s="13" t="s">
        <v>60</v>
      </c>
      <c r="V30" s="13" t="s">
        <v>54</v>
      </c>
      <c r="W30" s="13" t="s">
        <v>59</v>
      </c>
      <c r="X30" s="13" t="s">
        <v>45</v>
      </c>
      <c r="Y30" s="13" t="s">
        <v>42</v>
      </c>
      <c r="Z30" s="13" t="s">
        <v>45</v>
      </c>
      <c r="AA30" s="13" t="s">
        <v>56</v>
      </c>
      <c r="AB30" s="13" t="s">
        <v>110</v>
      </c>
      <c r="AC30" s="13" t="s">
        <v>58</v>
      </c>
      <c r="AD30" s="13" t="s">
        <v>57</v>
      </c>
      <c r="AE30" s="13" t="s">
        <v>50</v>
      </c>
      <c r="AF30" s="13" t="s">
        <v>49</v>
      </c>
      <c r="AG30" s="13" t="s">
        <v>46</v>
      </c>
      <c r="AH30" s="13" t="s">
        <v>49</v>
      </c>
      <c r="AI30" s="13" t="s">
        <v>42</v>
      </c>
      <c r="AJ30" s="13" t="s">
        <v>45</v>
      </c>
      <c r="AK30" s="13" t="s">
        <v>54</v>
      </c>
      <c r="AL30" s="13" t="s">
        <v>58</v>
      </c>
      <c r="AM30" s="13" t="s">
        <v>43</v>
      </c>
      <c r="AN30" s="13" t="s">
        <v>60</v>
      </c>
      <c r="AO30" s="13" t="s">
        <v>44</v>
      </c>
      <c r="AP30" s="14" t="s">
        <v>50</v>
      </c>
      <c r="AQ30" s="13" t="s">
        <v>39</v>
      </c>
      <c r="AR30" s="13" t="s">
        <v>56</v>
      </c>
    </row>
    <row r="31" spans="1:44" ht="18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M31" s="26"/>
      <c r="N31" s="26"/>
      <c r="Q31" s="12" t="s">
        <v>128</v>
      </c>
      <c r="R31" s="13" t="s">
        <v>51</v>
      </c>
      <c r="S31" s="13" t="s">
        <v>45</v>
      </c>
      <c r="T31" s="13" t="s">
        <v>64</v>
      </c>
      <c r="U31" s="13" t="s">
        <v>58</v>
      </c>
      <c r="V31" s="13" t="s">
        <v>56</v>
      </c>
      <c r="W31" s="13" t="s">
        <v>64</v>
      </c>
      <c r="X31" s="13" t="s">
        <v>55</v>
      </c>
      <c r="Y31" s="13" t="s">
        <v>50</v>
      </c>
      <c r="Z31" s="13" t="s">
        <v>59</v>
      </c>
      <c r="AA31" s="13" t="s">
        <v>56</v>
      </c>
      <c r="AB31" s="13" t="s">
        <v>92</v>
      </c>
      <c r="AC31" s="13" t="s">
        <v>50</v>
      </c>
      <c r="AD31" s="13" t="s">
        <v>64</v>
      </c>
      <c r="AE31" s="13" t="s">
        <v>45</v>
      </c>
      <c r="AF31" s="13" t="s">
        <v>64</v>
      </c>
      <c r="AG31" s="13" t="s">
        <v>44</v>
      </c>
      <c r="AH31" s="13" t="s">
        <v>45</v>
      </c>
      <c r="AI31" s="13" t="s">
        <v>57</v>
      </c>
      <c r="AJ31" s="13" t="s">
        <v>50</v>
      </c>
      <c r="AK31" s="13" t="s">
        <v>64</v>
      </c>
      <c r="AL31" s="13" t="s">
        <v>58</v>
      </c>
      <c r="AM31" s="13" t="s">
        <v>58</v>
      </c>
      <c r="AN31" s="13" t="s">
        <v>48</v>
      </c>
      <c r="AO31" s="13" t="s">
        <v>44</v>
      </c>
      <c r="AP31" s="14" t="s">
        <v>50</v>
      </c>
      <c r="AQ31" s="13" t="s">
        <v>56</v>
      </c>
      <c r="AR31" s="13" t="s">
        <v>54</v>
      </c>
    </row>
    <row r="32" spans="1:44" ht="13.5" customHeight="1" x14ac:dyDescent="0.25">
      <c r="A32" s="181" t="s">
        <v>129</v>
      </c>
      <c r="B32" s="181"/>
      <c r="C32" s="181"/>
      <c r="D32" s="181"/>
      <c r="E32" s="181"/>
      <c r="F32" s="181"/>
      <c r="G32" s="181"/>
      <c r="H32" s="181"/>
      <c r="I32" s="181"/>
      <c r="J32" s="60"/>
      <c r="K32" s="63"/>
      <c r="L32" s="64" t="s">
        <v>130</v>
      </c>
      <c r="M32" s="93">
        <v>7.3999999999999996E-2</v>
      </c>
      <c r="N32" s="3" t="s">
        <v>102</v>
      </c>
      <c r="O32" s="4"/>
      <c r="P32" s="4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4"/>
      <c r="AQ32" s="13"/>
      <c r="AR32" s="13"/>
    </row>
    <row r="33" spans="1:14" ht="15" customHeight="1" thickBot="1" x14ac:dyDescent="0.3">
      <c r="A33" s="151" t="s">
        <v>162</v>
      </c>
      <c r="B33" s="151"/>
      <c r="C33" s="151"/>
      <c r="D33" s="151"/>
      <c r="E33" s="151"/>
      <c r="F33" s="151"/>
      <c r="G33" s="151"/>
      <c r="H33" s="151"/>
      <c r="I33" s="151"/>
      <c r="L33" s="74" t="s">
        <v>132</v>
      </c>
      <c r="M33" s="35">
        <f>E29*M32</f>
        <v>152.995</v>
      </c>
      <c r="N33" s="35">
        <f>N22-M33</f>
        <v>347.005</v>
      </c>
    </row>
    <row r="34" spans="1:14" ht="13.8" thickBot="1" x14ac:dyDescent="0.3">
      <c r="A34" s="88" t="s">
        <v>2</v>
      </c>
      <c r="B34" s="161" t="s">
        <v>133</v>
      </c>
      <c r="C34" s="162"/>
      <c r="D34" s="163"/>
      <c r="E34" s="161" t="s">
        <v>134</v>
      </c>
      <c r="F34" s="162"/>
      <c r="G34" s="163"/>
      <c r="H34" s="161" t="s">
        <v>135</v>
      </c>
      <c r="I34" s="164"/>
      <c r="L34" s="28" t="s">
        <v>136</v>
      </c>
      <c r="M34" s="35">
        <f>E38*M32</f>
        <v>167.79499999999999</v>
      </c>
      <c r="N34" s="35">
        <f>N22-M34</f>
        <v>332.20500000000004</v>
      </c>
    </row>
    <row r="35" spans="1:14" ht="12.6" customHeight="1" x14ac:dyDescent="0.25">
      <c r="A35" s="39">
        <v>1</v>
      </c>
      <c r="B35" s="278" t="s">
        <v>159</v>
      </c>
      <c r="C35" s="278"/>
      <c r="D35" s="278"/>
      <c r="E35" s="278" t="s">
        <v>242</v>
      </c>
      <c r="F35" s="278"/>
      <c r="G35" s="278"/>
      <c r="H35" s="276">
        <f>K10</f>
        <v>200</v>
      </c>
      <c r="I35" s="277"/>
      <c r="L35" s="28"/>
      <c r="M35" s="35"/>
      <c r="N35" s="35"/>
    </row>
    <row r="36" spans="1:14" ht="13.5" customHeight="1" thickBot="1" x14ac:dyDescent="0.3">
      <c r="A36" s="40">
        <v>1</v>
      </c>
      <c r="B36" s="222" t="s">
        <v>160</v>
      </c>
      <c r="C36" s="222"/>
      <c r="D36" s="222"/>
      <c r="E36" s="222" t="s">
        <v>237</v>
      </c>
      <c r="F36" s="222"/>
      <c r="G36" s="222"/>
      <c r="H36" s="223">
        <f>K11</f>
        <v>0</v>
      </c>
      <c r="I36" s="224"/>
      <c r="L36" s="28"/>
      <c r="M36" s="35"/>
      <c r="N36" s="35"/>
    </row>
    <row r="37" spans="1:14" ht="13.8" thickBot="1" x14ac:dyDescent="0.3">
      <c r="A37" s="77"/>
      <c r="B37" s="77"/>
      <c r="C37" s="266"/>
      <c r="D37" s="266"/>
      <c r="E37" s="76"/>
      <c r="F37" s="150"/>
      <c r="G37" s="150"/>
      <c r="H37" s="266"/>
      <c r="I37" s="266"/>
      <c r="J37" s="69"/>
      <c r="K37" s="69"/>
    </row>
    <row r="38" spans="1:14" ht="15" customHeight="1" x14ac:dyDescent="0.25">
      <c r="A38" s="229"/>
      <c r="B38" s="229"/>
      <c r="C38" s="268" t="s">
        <v>137</v>
      </c>
      <c r="D38" s="269"/>
      <c r="E38" s="272">
        <f>E29+K10+K11</f>
        <v>2267.5</v>
      </c>
      <c r="F38" s="272"/>
      <c r="G38" s="273"/>
      <c r="H38" s="236"/>
      <c r="I38" s="236"/>
      <c r="M38" s="41"/>
      <c r="N38" s="4"/>
    </row>
    <row r="39" spans="1:14" ht="15.75" customHeight="1" thickBot="1" x14ac:dyDescent="0.3">
      <c r="A39" s="229"/>
      <c r="B39" s="229"/>
      <c r="C39" s="270"/>
      <c r="D39" s="271"/>
      <c r="E39" s="274"/>
      <c r="F39" s="274"/>
      <c r="G39" s="275"/>
      <c r="H39" s="236"/>
      <c r="I39" s="236"/>
      <c r="M39" s="41"/>
      <c r="N39" s="4"/>
    </row>
    <row r="40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M40" s="41"/>
      <c r="N40" s="4"/>
    </row>
    <row r="41" spans="1:14" ht="13.8" x14ac:dyDescent="0.25">
      <c r="A41" s="225" t="s">
        <v>138</v>
      </c>
      <c r="B41" s="225"/>
      <c r="C41" s="225"/>
      <c r="D41" s="225"/>
      <c r="E41" s="225"/>
      <c r="F41" s="225"/>
      <c r="G41" s="225"/>
      <c r="H41" s="225"/>
      <c r="I41" s="225"/>
      <c r="L41" s="28"/>
      <c r="M41" s="35"/>
      <c r="N41" s="35"/>
    </row>
    <row r="42" spans="1:14" ht="13.8" x14ac:dyDescent="0.25">
      <c r="A42" s="225" t="s">
        <v>139</v>
      </c>
      <c r="B42" s="225"/>
      <c r="C42" s="225"/>
      <c r="D42" s="225"/>
      <c r="E42" s="225"/>
      <c r="F42" s="225"/>
      <c r="G42" s="225"/>
      <c r="H42" s="225"/>
      <c r="I42" s="225"/>
      <c r="K42" s="28"/>
      <c r="L42" s="31"/>
      <c r="M42" s="30"/>
    </row>
    <row r="43" spans="1:14" ht="15.75" customHeight="1" x14ac:dyDescent="0.25">
      <c r="A43" s="225" t="s">
        <v>161</v>
      </c>
      <c r="B43" s="225"/>
      <c r="C43" s="225"/>
      <c r="D43" s="225"/>
      <c r="E43" s="225"/>
      <c r="F43" s="225"/>
      <c r="G43" s="225"/>
      <c r="H43" s="225"/>
      <c r="I43" s="225"/>
      <c r="K43" s="28"/>
      <c r="L43" s="31"/>
      <c r="M43" s="31"/>
    </row>
    <row r="44" spans="1:14" ht="4.5" customHeight="1" x14ac:dyDescent="0.25">
      <c r="K44" s="28"/>
      <c r="L44" s="35"/>
      <c r="M44" s="35"/>
    </row>
    <row r="45" spans="1:14" ht="15" customHeight="1" x14ac:dyDescent="0.25"/>
    <row r="46" spans="1:14" ht="13.5" customHeight="1" x14ac:dyDescent="0.25">
      <c r="A46" s="1" t="s">
        <v>140</v>
      </c>
    </row>
    <row r="47" spans="1:14" s="45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4" x14ac:dyDescent="0.25">
      <c r="A48" s="46" t="s">
        <v>141</v>
      </c>
    </row>
    <row r="49" spans="1:9" x14ac:dyDescent="0.25">
      <c r="A49" s="46" t="s">
        <v>142</v>
      </c>
    </row>
    <row r="50" spans="1:9" x14ac:dyDescent="0.25">
      <c r="A50" s="46" t="s">
        <v>143</v>
      </c>
    </row>
    <row r="52" spans="1:9" x14ac:dyDescent="0.25">
      <c r="A52" s="226" t="s">
        <v>144</v>
      </c>
      <c r="B52" s="226"/>
      <c r="C52" s="226"/>
      <c r="D52" s="226"/>
      <c r="E52" s="226"/>
      <c r="F52" s="226"/>
      <c r="G52" s="226"/>
      <c r="H52" s="226"/>
      <c r="I52" s="226"/>
    </row>
    <row r="53" spans="1:9" x14ac:dyDescent="0.25">
      <c r="H53" s="1" t="s">
        <v>81</v>
      </c>
    </row>
    <row r="54" spans="1:9" x14ac:dyDescent="0.25">
      <c r="A54" s="227" t="s">
        <v>145</v>
      </c>
      <c r="B54" s="227"/>
      <c r="C54" s="227"/>
      <c r="D54" s="227"/>
      <c r="E54" s="227"/>
      <c r="F54" s="227"/>
      <c r="G54" s="227"/>
      <c r="H54" s="227"/>
      <c r="I54" s="227"/>
    </row>
    <row r="56" spans="1:9" x14ac:dyDescent="0.25">
      <c r="A56" s="28" t="s">
        <v>146</v>
      </c>
      <c r="B56" s="28"/>
      <c r="C56" s="28"/>
      <c r="D56" s="28"/>
    </row>
    <row r="57" spans="1:9" ht="12.75" customHeight="1" x14ac:dyDescent="0.25">
      <c r="A57" s="47" t="s">
        <v>147</v>
      </c>
      <c r="B57" s="47"/>
      <c r="C57" s="47"/>
      <c r="D57" s="28"/>
    </row>
    <row r="58" spans="1:9" x14ac:dyDescent="0.25">
      <c r="A58" s="28" t="s">
        <v>148</v>
      </c>
      <c r="B58" s="28"/>
      <c r="C58" s="28"/>
      <c r="D58" s="28"/>
    </row>
    <row r="59" spans="1:9" x14ac:dyDescent="0.25">
      <c r="A59" s="48" t="s">
        <v>149</v>
      </c>
      <c r="B59" s="49"/>
      <c r="C59" s="49"/>
      <c r="D59" s="28"/>
    </row>
    <row r="60" spans="1:9" x14ac:dyDescent="0.25">
      <c r="A60" s="28" t="s">
        <v>150</v>
      </c>
      <c r="B60" s="28"/>
      <c r="C60" s="28"/>
      <c r="D60" s="28"/>
    </row>
    <row r="61" spans="1:9" x14ac:dyDescent="0.25">
      <c r="B61" s="28"/>
      <c r="C61" s="28"/>
      <c r="F61" s="228"/>
      <c r="G61" s="228"/>
      <c r="H61" s="228"/>
      <c r="I61" s="228"/>
    </row>
    <row r="63" spans="1:9" x14ac:dyDescent="0.25">
      <c r="A63" s="28"/>
      <c r="B63" s="28"/>
      <c r="C63" s="28"/>
      <c r="D63" s="28"/>
    </row>
    <row r="64" spans="1:9" x14ac:dyDescent="0.25">
      <c r="A64" s="47"/>
      <c r="B64" s="47"/>
      <c r="C64" s="47"/>
      <c r="D64" s="28"/>
    </row>
    <row r="65" spans="1:4" x14ac:dyDescent="0.25">
      <c r="A65" s="28"/>
      <c r="B65" s="28"/>
      <c r="C65" s="28"/>
      <c r="D65" s="28"/>
    </row>
    <row r="66" spans="1:4" x14ac:dyDescent="0.25">
      <c r="A66" s="28"/>
      <c r="B66" s="28"/>
      <c r="C66" s="28"/>
      <c r="D66" s="28"/>
    </row>
    <row r="67" spans="1:4" x14ac:dyDescent="0.25">
      <c r="A67" s="48"/>
      <c r="B67" s="49"/>
      <c r="C67" s="49"/>
      <c r="D67" s="28"/>
    </row>
    <row r="68" spans="1:4" x14ac:dyDescent="0.25">
      <c r="A68" s="28"/>
      <c r="B68" s="28"/>
      <c r="C68" s="28"/>
      <c r="D68" s="28"/>
    </row>
  </sheetData>
  <mergeCells count="58">
    <mergeCell ref="K1:M1"/>
    <mergeCell ref="Q1:AR1"/>
    <mergeCell ref="B3:E5"/>
    <mergeCell ref="K3:K4"/>
    <mergeCell ref="L3:L4"/>
    <mergeCell ref="M3:M4"/>
    <mergeCell ref="A21:I21"/>
    <mergeCell ref="J6:K6"/>
    <mergeCell ref="C9:G9"/>
    <mergeCell ref="A11:I11"/>
    <mergeCell ref="L13:M14"/>
    <mergeCell ref="B16:E16"/>
    <mergeCell ref="F16:G16"/>
    <mergeCell ref="H16:I16"/>
    <mergeCell ref="A17:A18"/>
    <mergeCell ref="B17:E18"/>
    <mergeCell ref="F17:G18"/>
    <mergeCell ref="H17:I18"/>
    <mergeCell ref="A20:I20"/>
    <mergeCell ref="K22:L22"/>
    <mergeCell ref="A23:A24"/>
    <mergeCell ref="B23:D24"/>
    <mergeCell ref="E23:G24"/>
    <mergeCell ref="H23:I24"/>
    <mergeCell ref="K23:L23"/>
    <mergeCell ref="B22:D22"/>
    <mergeCell ref="E22:G22"/>
    <mergeCell ref="H22:I22"/>
    <mergeCell ref="A32:I32"/>
    <mergeCell ref="A33:I33"/>
    <mergeCell ref="K25:L25"/>
    <mergeCell ref="E26:G26"/>
    <mergeCell ref="E27:G27"/>
    <mergeCell ref="E28:G28"/>
    <mergeCell ref="C29:D30"/>
    <mergeCell ref="E29:G30"/>
    <mergeCell ref="B34:D34"/>
    <mergeCell ref="E34:G34"/>
    <mergeCell ref="H34:I34"/>
    <mergeCell ref="H35:I35"/>
    <mergeCell ref="B35:D35"/>
    <mergeCell ref="E35:G35"/>
    <mergeCell ref="H36:I36"/>
    <mergeCell ref="C37:D37"/>
    <mergeCell ref="F37:G37"/>
    <mergeCell ref="H37:I37"/>
    <mergeCell ref="B36:D36"/>
    <mergeCell ref="E36:G36"/>
    <mergeCell ref="A43:I43"/>
    <mergeCell ref="A52:I52"/>
    <mergeCell ref="A54:I54"/>
    <mergeCell ref="F61:I61"/>
    <mergeCell ref="A38:B39"/>
    <mergeCell ref="C38:D39"/>
    <mergeCell ref="E38:G39"/>
    <mergeCell ref="H38:I39"/>
    <mergeCell ref="A41:I41"/>
    <mergeCell ref="A42:I4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r:id="rId1"/>
  <colBreaks count="2" manualBreakCount="2">
    <brk id="9" max="1048575" man="1"/>
    <brk id="1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B6A8-A534-4509-BA5E-1470013A0E06}">
  <sheetPr>
    <pageSetUpPr fitToPage="1"/>
  </sheetPr>
  <dimension ref="A1:AR68"/>
  <sheetViews>
    <sheetView showGridLines="0" view="pageBreakPreview" topLeftCell="A3" zoomScale="97" zoomScaleSheetLayoutView="100" workbookViewId="0">
      <selection activeCell="B25" sqref="B25"/>
    </sheetView>
  </sheetViews>
  <sheetFormatPr defaultColWidth="11.6640625" defaultRowHeight="13.2" x14ac:dyDescent="0.25"/>
  <cols>
    <col min="1" max="1" width="11.6640625" style="1" customWidth="1"/>
    <col min="2" max="3" width="11.6640625" style="1"/>
    <col min="4" max="4" width="10.88671875" style="1" customWidth="1"/>
    <col min="5" max="5" width="13.6640625" style="1" customWidth="1"/>
    <col min="6" max="6" width="12.109375" style="1" bestFit="1" customWidth="1"/>
    <col min="7" max="7" width="11.6640625" style="1"/>
    <col min="8" max="8" width="12" style="1" customWidth="1"/>
    <col min="9" max="9" width="12.33203125" style="1" customWidth="1"/>
    <col min="10" max="10" width="11.6640625" style="1"/>
    <col min="11" max="11" width="14.44140625" style="1" bestFit="1" customWidth="1"/>
    <col min="12" max="12" width="23.88671875" style="1" customWidth="1"/>
    <col min="13" max="13" width="21.109375" style="1" bestFit="1" customWidth="1"/>
    <col min="14" max="14" width="13.44140625" style="1" bestFit="1" customWidth="1"/>
    <col min="15" max="15" width="9.88671875" style="1" bestFit="1" customWidth="1"/>
    <col min="16" max="16" width="2.5546875" style="1" customWidth="1"/>
    <col min="17" max="17" width="21" style="1" bestFit="1" customWidth="1"/>
    <col min="18" max="27" width="5.44140625" style="1" bestFit="1" customWidth="1"/>
    <col min="28" max="28" width="6" style="1" bestFit="1" customWidth="1"/>
    <col min="29" max="44" width="5.44140625" style="1" bestFit="1" customWidth="1"/>
    <col min="45" max="16384" width="11.6640625" style="1"/>
  </cols>
  <sheetData>
    <row r="1" spans="1:44" ht="13.8" thickBot="1" x14ac:dyDescent="0.3">
      <c r="J1" s="2"/>
      <c r="K1" s="137" t="s">
        <v>0</v>
      </c>
      <c r="L1" s="138"/>
      <c r="M1" s="139"/>
      <c r="N1" s="3"/>
      <c r="O1" s="4"/>
      <c r="P1" s="4"/>
      <c r="Q1" s="140" t="s">
        <v>1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</row>
    <row r="2" spans="1:44" ht="13.8" thickBot="1" x14ac:dyDescent="0.3">
      <c r="J2" s="2"/>
      <c r="K2" s="5" t="s">
        <v>2</v>
      </c>
      <c r="L2" s="6" t="s">
        <v>3</v>
      </c>
      <c r="M2" s="7" t="s">
        <v>4</v>
      </c>
      <c r="N2" s="4" t="s">
        <v>5</v>
      </c>
      <c r="O2" s="8">
        <f>M5*50%</f>
        <v>60</v>
      </c>
      <c r="P2" s="9"/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0" t="s">
        <v>21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31</v>
      </c>
      <c r="AQ2" s="10" t="s">
        <v>32</v>
      </c>
      <c r="AR2" s="10" t="s">
        <v>33</v>
      </c>
    </row>
    <row r="3" spans="1:44" x14ac:dyDescent="0.25">
      <c r="B3" s="182" t="s">
        <v>151</v>
      </c>
      <c r="C3" s="182"/>
      <c r="D3" s="182"/>
      <c r="E3" s="182"/>
      <c r="J3" s="2"/>
      <c r="K3" s="141">
        <v>1</v>
      </c>
      <c r="L3" s="143">
        <v>1E-3</v>
      </c>
      <c r="M3" s="145">
        <f>F17*L3</f>
        <v>120</v>
      </c>
      <c r="N3" s="4" t="s">
        <v>35</v>
      </c>
      <c r="O3" s="8">
        <f>M5-O2</f>
        <v>60</v>
      </c>
      <c r="P3" s="4"/>
      <c r="Q3" s="12" t="s">
        <v>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13"/>
      <c r="AR3" s="13"/>
    </row>
    <row r="4" spans="1:44" ht="15.75" customHeight="1" thickBot="1" x14ac:dyDescent="0.3">
      <c r="B4" s="182"/>
      <c r="C4" s="182"/>
      <c r="D4" s="182"/>
      <c r="E4" s="182"/>
      <c r="J4" s="2"/>
      <c r="K4" s="142"/>
      <c r="L4" s="144"/>
      <c r="M4" s="146"/>
      <c r="N4" s="4" t="s">
        <v>37</v>
      </c>
      <c r="O4" s="8">
        <f>O3*7.38%</f>
        <v>4.4279999999999999</v>
      </c>
      <c r="P4" s="4"/>
      <c r="Q4" s="12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40</v>
      </c>
      <c r="W4" s="13" t="s">
        <v>43</v>
      </c>
      <c r="X4" s="13" t="s">
        <v>44</v>
      </c>
      <c r="Y4" s="13" t="s">
        <v>41</v>
      </c>
      <c r="Z4" s="13" t="s">
        <v>44</v>
      </c>
      <c r="AA4" s="13" t="s">
        <v>43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40</v>
      </c>
      <c r="AG4" s="13" t="s">
        <v>48</v>
      </c>
      <c r="AH4" s="13" t="s">
        <v>40</v>
      </c>
      <c r="AI4" s="13" t="s">
        <v>41</v>
      </c>
      <c r="AJ4" s="13" t="s">
        <v>41</v>
      </c>
      <c r="AK4" s="13" t="s">
        <v>40</v>
      </c>
      <c r="AL4" s="13" t="s">
        <v>43</v>
      </c>
      <c r="AM4" s="13" t="s">
        <v>49</v>
      </c>
      <c r="AN4" s="13" t="s">
        <v>50</v>
      </c>
      <c r="AO4" s="13" t="s">
        <v>41</v>
      </c>
      <c r="AP4" s="14" t="s">
        <v>48</v>
      </c>
      <c r="AQ4" s="13" t="s">
        <v>40</v>
      </c>
      <c r="AR4" s="13" t="s">
        <v>51</v>
      </c>
    </row>
    <row r="5" spans="1:44" ht="13.8" thickBot="1" x14ac:dyDescent="0.3">
      <c r="B5" s="182"/>
      <c r="C5" s="182"/>
      <c r="D5" s="182"/>
      <c r="E5" s="182"/>
      <c r="J5" s="2"/>
      <c r="K5" s="2"/>
      <c r="L5" s="15"/>
      <c r="M5" s="16">
        <f>SUM(M3:M4)</f>
        <v>120</v>
      </c>
      <c r="N5" s="4" t="s">
        <v>52</v>
      </c>
      <c r="O5" s="8">
        <f>O3+O4</f>
        <v>64.427999999999997</v>
      </c>
      <c r="P5" s="4"/>
      <c r="Q5" s="12" t="s">
        <v>53</v>
      </c>
      <c r="R5" s="13" t="s">
        <v>40</v>
      </c>
      <c r="S5" s="13" t="s">
        <v>39</v>
      </c>
      <c r="T5" s="13" t="s">
        <v>46</v>
      </c>
      <c r="U5" s="13" t="s">
        <v>40</v>
      </c>
      <c r="V5" s="13" t="s">
        <v>54</v>
      </c>
      <c r="W5" s="13" t="s">
        <v>55</v>
      </c>
      <c r="X5" s="13" t="s">
        <v>50</v>
      </c>
      <c r="Y5" s="13" t="s">
        <v>56</v>
      </c>
      <c r="Z5" s="13" t="s">
        <v>50</v>
      </c>
      <c r="AA5" s="13" t="s">
        <v>57</v>
      </c>
      <c r="AB5" s="13" t="s">
        <v>58</v>
      </c>
      <c r="AC5" s="13" t="s">
        <v>47</v>
      </c>
      <c r="AD5" s="13" t="s">
        <v>56</v>
      </c>
      <c r="AE5" s="13" t="s">
        <v>50</v>
      </c>
      <c r="AF5" s="13" t="s">
        <v>49</v>
      </c>
      <c r="AG5" s="13" t="s">
        <v>44</v>
      </c>
      <c r="AH5" s="13" t="s">
        <v>49</v>
      </c>
      <c r="AI5" s="13" t="s">
        <v>59</v>
      </c>
      <c r="AJ5" s="13" t="s">
        <v>50</v>
      </c>
      <c r="AK5" s="13" t="s">
        <v>49</v>
      </c>
      <c r="AL5" s="13" t="s">
        <v>47</v>
      </c>
      <c r="AM5" s="13" t="s">
        <v>41</v>
      </c>
      <c r="AN5" s="13" t="s">
        <v>60</v>
      </c>
      <c r="AO5" s="13" t="s">
        <v>58</v>
      </c>
      <c r="AP5" s="14" t="s">
        <v>46</v>
      </c>
      <c r="AQ5" s="13" t="s">
        <v>49</v>
      </c>
      <c r="AR5" s="13" t="s">
        <v>45</v>
      </c>
    </row>
    <row r="6" spans="1:44" ht="13.8" thickBot="1" x14ac:dyDescent="0.3">
      <c r="J6" s="294" t="s">
        <v>61</v>
      </c>
      <c r="K6" s="295"/>
      <c r="L6" s="17"/>
      <c r="M6" s="18"/>
      <c r="N6" s="3"/>
      <c r="O6" s="19" t="s">
        <v>62</v>
      </c>
      <c r="P6" s="4"/>
      <c r="Q6" s="12" t="s">
        <v>63</v>
      </c>
      <c r="R6" s="13" t="s">
        <v>41</v>
      </c>
      <c r="S6" s="13" t="s">
        <v>46</v>
      </c>
      <c r="T6" s="13" t="s">
        <v>59</v>
      </c>
      <c r="U6" s="13" t="s">
        <v>41</v>
      </c>
      <c r="V6" s="13" t="s">
        <v>46</v>
      </c>
      <c r="W6" s="13" t="s">
        <v>56</v>
      </c>
      <c r="X6" s="13" t="s">
        <v>50</v>
      </c>
      <c r="Y6" s="13" t="s">
        <v>47</v>
      </c>
      <c r="Z6" s="13" t="s">
        <v>50</v>
      </c>
      <c r="AA6" s="13" t="s">
        <v>42</v>
      </c>
      <c r="AB6" s="13" t="s">
        <v>58</v>
      </c>
      <c r="AC6" s="13" t="s">
        <v>41</v>
      </c>
      <c r="AD6" s="13" t="s">
        <v>58</v>
      </c>
      <c r="AE6" s="13" t="s">
        <v>42</v>
      </c>
      <c r="AF6" s="13" t="s">
        <v>46</v>
      </c>
      <c r="AG6" s="13" t="s">
        <v>47</v>
      </c>
      <c r="AH6" s="13" t="s">
        <v>46</v>
      </c>
      <c r="AI6" s="13" t="s">
        <v>42</v>
      </c>
      <c r="AJ6" s="13" t="s">
        <v>47</v>
      </c>
      <c r="AK6" s="13" t="s">
        <v>46</v>
      </c>
      <c r="AL6" s="13" t="s">
        <v>43</v>
      </c>
      <c r="AM6" s="13" t="s">
        <v>47</v>
      </c>
      <c r="AN6" s="13" t="s">
        <v>40</v>
      </c>
      <c r="AO6" s="13" t="s">
        <v>48</v>
      </c>
      <c r="AP6" s="14" t="s">
        <v>58</v>
      </c>
      <c r="AQ6" s="13" t="s">
        <v>46</v>
      </c>
      <c r="AR6" s="13" t="s">
        <v>64</v>
      </c>
    </row>
    <row r="7" spans="1:44" x14ac:dyDescent="0.25">
      <c r="J7" s="51" t="s">
        <v>65</v>
      </c>
      <c r="K7" s="52">
        <v>6000</v>
      </c>
      <c r="L7" s="20"/>
      <c r="M7" s="18"/>
      <c r="N7" s="3"/>
      <c r="O7" s="4"/>
      <c r="P7" s="4"/>
      <c r="Q7" s="12" t="s">
        <v>66</v>
      </c>
      <c r="R7" s="13" t="s">
        <v>42</v>
      </c>
      <c r="S7" s="13" t="s">
        <v>40</v>
      </c>
      <c r="T7" s="13" t="s">
        <v>41</v>
      </c>
      <c r="U7" s="13" t="s">
        <v>59</v>
      </c>
      <c r="V7" s="13" t="s">
        <v>40</v>
      </c>
      <c r="W7" s="13" t="s">
        <v>43</v>
      </c>
      <c r="X7" s="13" t="s">
        <v>58</v>
      </c>
      <c r="Y7" s="13" t="s">
        <v>43</v>
      </c>
      <c r="Z7" s="13" t="s">
        <v>58</v>
      </c>
      <c r="AA7" s="13" t="s">
        <v>43</v>
      </c>
      <c r="AB7" s="13" t="s">
        <v>44</v>
      </c>
      <c r="AC7" s="13" t="s">
        <v>58</v>
      </c>
      <c r="AD7" s="13" t="s">
        <v>48</v>
      </c>
      <c r="AE7" s="13" t="s">
        <v>48</v>
      </c>
      <c r="AF7" s="13" t="s">
        <v>40</v>
      </c>
      <c r="AG7" s="13" t="s">
        <v>41</v>
      </c>
      <c r="AH7" s="13" t="s">
        <v>40</v>
      </c>
      <c r="AI7" s="13" t="s">
        <v>48</v>
      </c>
      <c r="AJ7" s="13" t="s">
        <v>43</v>
      </c>
      <c r="AK7" s="13" t="s">
        <v>40</v>
      </c>
      <c r="AL7" s="13" t="s">
        <v>40</v>
      </c>
      <c r="AM7" s="13" t="s">
        <v>42</v>
      </c>
      <c r="AN7" s="13" t="s">
        <v>42</v>
      </c>
      <c r="AO7" s="13" t="s">
        <v>43</v>
      </c>
      <c r="AP7" s="14" t="s">
        <v>41</v>
      </c>
      <c r="AQ7" s="13" t="s">
        <v>60</v>
      </c>
      <c r="AR7" s="13" t="s">
        <v>58</v>
      </c>
    </row>
    <row r="8" spans="1:44" x14ac:dyDescent="0.25">
      <c r="J8" s="53" t="s">
        <v>67</v>
      </c>
      <c r="K8" s="54">
        <v>6000</v>
      </c>
      <c r="L8" s="20"/>
      <c r="M8" s="21" t="s">
        <v>68</v>
      </c>
      <c r="N8" s="3"/>
      <c r="O8" s="22"/>
      <c r="P8" s="4"/>
      <c r="Q8" s="12" t="s">
        <v>69</v>
      </c>
      <c r="R8" s="13" t="s">
        <v>40</v>
      </c>
      <c r="S8" s="13" t="s">
        <v>54</v>
      </c>
      <c r="T8" s="13" t="s">
        <v>46</v>
      </c>
      <c r="U8" s="13" t="s">
        <v>40</v>
      </c>
      <c r="V8" s="13" t="s">
        <v>49</v>
      </c>
      <c r="W8" s="13" t="s">
        <v>59</v>
      </c>
      <c r="X8" s="13" t="s">
        <v>50</v>
      </c>
      <c r="Y8" s="13" t="s">
        <v>59</v>
      </c>
      <c r="Z8" s="13" t="s">
        <v>50</v>
      </c>
      <c r="AA8" s="13" t="s">
        <v>57</v>
      </c>
      <c r="AB8" s="13" t="s">
        <v>46</v>
      </c>
      <c r="AC8" s="13" t="s">
        <v>44</v>
      </c>
      <c r="AD8" s="13" t="s">
        <v>42</v>
      </c>
      <c r="AE8" s="13" t="s">
        <v>45</v>
      </c>
      <c r="AF8" s="13" t="s">
        <v>55</v>
      </c>
      <c r="AG8" s="13" t="s">
        <v>50</v>
      </c>
      <c r="AH8" s="13" t="s">
        <v>54</v>
      </c>
      <c r="AI8" s="13" t="s">
        <v>59</v>
      </c>
      <c r="AJ8" s="13" t="s">
        <v>57</v>
      </c>
      <c r="AK8" s="13" t="s">
        <v>59</v>
      </c>
      <c r="AL8" s="13" t="s">
        <v>44</v>
      </c>
      <c r="AM8" s="13" t="s">
        <v>41</v>
      </c>
      <c r="AN8" s="13" t="s">
        <v>60</v>
      </c>
      <c r="AO8" s="13" t="s">
        <v>46</v>
      </c>
      <c r="AP8" s="14" t="s">
        <v>45</v>
      </c>
      <c r="AQ8" s="13" t="s">
        <v>54</v>
      </c>
      <c r="AR8" s="13" t="s">
        <v>56</v>
      </c>
    </row>
    <row r="9" spans="1:44" x14ac:dyDescent="0.25">
      <c r="A9" s="1" t="s">
        <v>70</v>
      </c>
      <c r="C9" s="154">
        <f ca="1">TODAY()</f>
        <v>46213</v>
      </c>
      <c r="D9" s="154"/>
      <c r="E9" s="154"/>
      <c r="F9" s="154"/>
      <c r="G9" s="154"/>
      <c r="J9" s="53" t="s">
        <v>71</v>
      </c>
      <c r="K9" s="55">
        <v>0</v>
      </c>
      <c r="L9" s="23"/>
      <c r="M9" s="23">
        <f>SUM(K7:K12)</f>
        <v>12120</v>
      </c>
      <c r="N9" s="24"/>
      <c r="O9" s="4"/>
      <c r="P9" s="4"/>
      <c r="Q9" s="12" t="s">
        <v>72</v>
      </c>
      <c r="R9" s="13" t="s">
        <v>43</v>
      </c>
      <c r="S9" s="13" t="s">
        <v>55</v>
      </c>
      <c r="T9" s="13" t="s">
        <v>56</v>
      </c>
      <c r="U9" s="13" t="s">
        <v>43</v>
      </c>
      <c r="V9" s="13" t="s">
        <v>59</v>
      </c>
      <c r="W9" s="13" t="s">
        <v>39</v>
      </c>
      <c r="X9" s="13" t="s">
        <v>44</v>
      </c>
      <c r="Y9" s="13" t="s">
        <v>50</v>
      </c>
      <c r="Z9" s="13" t="s">
        <v>44</v>
      </c>
      <c r="AA9" s="13" t="s">
        <v>55</v>
      </c>
      <c r="AB9" s="13" t="s">
        <v>48</v>
      </c>
      <c r="AC9" s="13" t="s">
        <v>48</v>
      </c>
      <c r="AD9" s="13" t="s">
        <v>46</v>
      </c>
      <c r="AE9" s="13" t="s">
        <v>57</v>
      </c>
      <c r="AF9" s="13" t="s">
        <v>49</v>
      </c>
      <c r="AG9" s="13" t="s">
        <v>47</v>
      </c>
      <c r="AH9" s="13" t="s">
        <v>54</v>
      </c>
      <c r="AI9" s="13" t="s">
        <v>55</v>
      </c>
      <c r="AJ9" s="13" t="s">
        <v>44</v>
      </c>
      <c r="AK9" s="13" t="s">
        <v>49</v>
      </c>
      <c r="AL9" s="13" t="s">
        <v>41</v>
      </c>
      <c r="AM9" s="13" t="s">
        <v>41</v>
      </c>
      <c r="AN9" s="13" t="s">
        <v>60</v>
      </c>
      <c r="AO9" s="13" t="s">
        <v>48</v>
      </c>
      <c r="AP9" s="14" t="s">
        <v>58</v>
      </c>
      <c r="AQ9" s="13" t="s">
        <v>59</v>
      </c>
      <c r="AR9" s="13" t="s">
        <v>64</v>
      </c>
    </row>
    <row r="10" spans="1:44" x14ac:dyDescent="0.25">
      <c r="J10" s="53" t="s">
        <v>73</v>
      </c>
      <c r="K10" s="55">
        <v>0</v>
      </c>
      <c r="L10" s="25"/>
      <c r="M10" s="23"/>
      <c r="N10" s="26"/>
      <c r="O10" s="4"/>
      <c r="P10" s="4"/>
      <c r="Q10" s="12" t="s">
        <v>74</v>
      </c>
      <c r="R10" s="13" t="s">
        <v>44</v>
      </c>
      <c r="S10" s="13" t="s">
        <v>50</v>
      </c>
      <c r="T10" s="13" t="s">
        <v>50</v>
      </c>
      <c r="U10" s="13" t="s">
        <v>58</v>
      </c>
      <c r="V10" s="13" t="s">
        <v>50</v>
      </c>
      <c r="W10" s="13" t="s">
        <v>44</v>
      </c>
      <c r="X10" s="13" t="s">
        <v>75</v>
      </c>
      <c r="Y10" s="13" t="s">
        <v>42</v>
      </c>
      <c r="Z10" s="13" t="s">
        <v>49</v>
      </c>
      <c r="AA10" s="13" t="s">
        <v>46</v>
      </c>
      <c r="AB10" s="13" t="s">
        <v>55</v>
      </c>
      <c r="AC10" s="13" t="s">
        <v>59</v>
      </c>
      <c r="AD10" s="13" t="s">
        <v>54</v>
      </c>
      <c r="AE10" s="13" t="s">
        <v>45</v>
      </c>
      <c r="AF10" s="13" t="s">
        <v>46</v>
      </c>
      <c r="AG10" s="13" t="s">
        <v>42</v>
      </c>
      <c r="AH10" s="13" t="s">
        <v>46</v>
      </c>
      <c r="AI10" s="13" t="s">
        <v>44</v>
      </c>
      <c r="AJ10" s="13" t="s">
        <v>42</v>
      </c>
      <c r="AK10" s="13" t="s">
        <v>44</v>
      </c>
      <c r="AL10" s="13" t="s">
        <v>56</v>
      </c>
      <c r="AM10" s="13" t="s">
        <v>50</v>
      </c>
      <c r="AN10" s="13" t="s">
        <v>41</v>
      </c>
      <c r="AO10" s="13" t="s">
        <v>42</v>
      </c>
      <c r="AP10" s="14" t="s">
        <v>54</v>
      </c>
      <c r="AQ10" s="13" t="s">
        <v>45</v>
      </c>
      <c r="AR10" s="13" t="s">
        <v>55</v>
      </c>
    </row>
    <row r="11" spans="1:44" x14ac:dyDescent="0.25">
      <c r="A11" s="155"/>
      <c r="B11" s="155"/>
      <c r="C11" s="155"/>
      <c r="D11" s="155"/>
      <c r="E11" s="155"/>
      <c r="F11" s="155"/>
      <c r="G11" s="155"/>
      <c r="H11" s="155"/>
      <c r="I11" s="155"/>
      <c r="J11" s="53" t="s">
        <v>76</v>
      </c>
      <c r="K11" s="56">
        <v>0</v>
      </c>
      <c r="L11" s="25"/>
      <c r="M11" s="2"/>
      <c r="O11" s="4"/>
      <c r="P11" s="4"/>
      <c r="Q11" s="12" t="s">
        <v>77</v>
      </c>
      <c r="R11" s="13" t="s">
        <v>41</v>
      </c>
      <c r="S11" s="13" t="s">
        <v>56</v>
      </c>
      <c r="T11" s="13" t="s">
        <v>47</v>
      </c>
      <c r="U11" s="13" t="s">
        <v>43</v>
      </c>
      <c r="V11" s="13" t="s">
        <v>59</v>
      </c>
      <c r="W11" s="13" t="s">
        <v>50</v>
      </c>
      <c r="X11" s="13" t="s">
        <v>42</v>
      </c>
      <c r="Y11" s="13" t="s">
        <v>75</v>
      </c>
      <c r="Z11" s="13" t="s">
        <v>42</v>
      </c>
      <c r="AA11" s="13" t="s">
        <v>46</v>
      </c>
      <c r="AB11" s="13" t="s">
        <v>50</v>
      </c>
      <c r="AC11" s="13" t="s">
        <v>45</v>
      </c>
      <c r="AD11" s="13" t="s">
        <v>49</v>
      </c>
      <c r="AE11" s="13" t="s">
        <v>58</v>
      </c>
      <c r="AF11" s="13" t="s">
        <v>45</v>
      </c>
      <c r="AG11" s="13" t="s">
        <v>42</v>
      </c>
      <c r="AH11" s="13" t="s">
        <v>45</v>
      </c>
      <c r="AI11" s="13" t="s">
        <v>50</v>
      </c>
      <c r="AJ11" s="13" t="s">
        <v>39</v>
      </c>
      <c r="AK11" s="13" t="s">
        <v>50</v>
      </c>
      <c r="AL11" s="13" t="s">
        <v>45</v>
      </c>
      <c r="AM11" s="13" t="s">
        <v>47</v>
      </c>
      <c r="AN11" s="13" t="s">
        <v>60</v>
      </c>
      <c r="AO11" s="13" t="s">
        <v>57</v>
      </c>
      <c r="AP11" s="14" t="s">
        <v>55</v>
      </c>
      <c r="AQ11" s="13" t="s">
        <v>42</v>
      </c>
      <c r="AR11" s="13" t="s">
        <v>50</v>
      </c>
    </row>
    <row r="12" spans="1:44" ht="13.8" thickBot="1" x14ac:dyDescent="0.3">
      <c r="A12" s="27" t="s">
        <v>78</v>
      </c>
      <c r="B12" s="28"/>
      <c r="J12" s="59" t="s">
        <v>79</v>
      </c>
      <c r="K12" s="70">
        <f>M3</f>
        <v>120</v>
      </c>
      <c r="L12" s="2"/>
      <c r="M12" s="29"/>
      <c r="N12" s="4"/>
      <c r="O12" s="4"/>
      <c r="P12" s="4"/>
      <c r="Q12" s="12" t="s">
        <v>80</v>
      </c>
      <c r="R12" s="13" t="s">
        <v>44</v>
      </c>
      <c r="S12" s="13" t="s">
        <v>50</v>
      </c>
      <c r="T12" s="13" t="s">
        <v>50</v>
      </c>
      <c r="U12" s="13" t="s">
        <v>58</v>
      </c>
      <c r="V12" s="13" t="s">
        <v>50</v>
      </c>
      <c r="W12" s="13" t="s">
        <v>44</v>
      </c>
      <c r="X12" s="13" t="s">
        <v>49</v>
      </c>
      <c r="Y12" s="13" t="s">
        <v>42</v>
      </c>
      <c r="Z12" s="13" t="s">
        <v>49</v>
      </c>
      <c r="AA12" s="13" t="s">
        <v>46</v>
      </c>
      <c r="AB12" s="13" t="s">
        <v>55</v>
      </c>
      <c r="AC12" s="13" t="s">
        <v>59</v>
      </c>
      <c r="AD12" s="13" t="s">
        <v>54</v>
      </c>
      <c r="AE12" s="13" t="s">
        <v>45</v>
      </c>
      <c r="AF12" s="13" t="s">
        <v>46</v>
      </c>
      <c r="AG12" s="13" t="s">
        <v>42</v>
      </c>
      <c r="AH12" s="13" t="s">
        <v>46</v>
      </c>
      <c r="AI12" s="13" t="s">
        <v>44</v>
      </c>
      <c r="AJ12" s="13" t="s">
        <v>42</v>
      </c>
      <c r="AK12" s="13" t="s">
        <v>44</v>
      </c>
      <c r="AL12" s="13" t="s">
        <v>56</v>
      </c>
      <c r="AM12" s="13" t="s">
        <v>50</v>
      </c>
      <c r="AN12" s="13" t="s">
        <v>41</v>
      </c>
      <c r="AO12" s="13" t="s">
        <v>42</v>
      </c>
      <c r="AP12" s="14" t="s">
        <v>54</v>
      </c>
      <c r="AQ12" s="13" t="s">
        <v>45</v>
      </c>
      <c r="AR12" s="13" t="s">
        <v>59</v>
      </c>
    </row>
    <row r="13" spans="1:44" ht="15" customHeight="1" x14ac:dyDescent="0.25">
      <c r="J13" s="51" t="s">
        <v>82</v>
      </c>
      <c r="K13" s="73">
        <f>(M22+M5)*0.12</f>
        <v>1454.3999999999999</v>
      </c>
      <c r="L13" s="157"/>
      <c r="M13" s="158"/>
      <c r="N13" s="26"/>
      <c r="O13" s="4"/>
      <c r="P13" s="4"/>
      <c r="Q13" s="12" t="s">
        <v>83</v>
      </c>
      <c r="R13" s="13" t="s">
        <v>43</v>
      </c>
      <c r="S13" s="13" t="s">
        <v>57</v>
      </c>
      <c r="T13" s="13" t="s">
        <v>42</v>
      </c>
      <c r="U13" s="13" t="s">
        <v>43</v>
      </c>
      <c r="V13" s="13" t="s">
        <v>57</v>
      </c>
      <c r="W13" s="13" t="s">
        <v>55</v>
      </c>
      <c r="X13" s="13" t="s">
        <v>46</v>
      </c>
      <c r="Y13" s="13" t="s">
        <v>46</v>
      </c>
      <c r="Z13" s="13" t="s">
        <v>46</v>
      </c>
      <c r="AA13" s="13" t="s">
        <v>54</v>
      </c>
      <c r="AB13" s="13" t="s">
        <v>58</v>
      </c>
      <c r="AC13" s="13" t="s">
        <v>48</v>
      </c>
      <c r="AD13" s="13" t="s">
        <v>46</v>
      </c>
      <c r="AE13" s="13" t="s">
        <v>42</v>
      </c>
      <c r="AF13" s="13" t="s">
        <v>56</v>
      </c>
      <c r="AG13" s="13" t="s">
        <v>48</v>
      </c>
      <c r="AH13" s="13" t="s">
        <v>57</v>
      </c>
      <c r="AI13" s="13" t="s">
        <v>55</v>
      </c>
      <c r="AJ13" s="13" t="s">
        <v>58</v>
      </c>
      <c r="AK13" s="13" t="s">
        <v>57</v>
      </c>
      <c r="AL13" s="13" t="s">
        <v>43</v>
      </c>
      <c r="AM13" s="13" t="s">
        <v>48</v>
      </c>
      <c r="AN13" s="13" t="s">
        <v>60</v>
      </c>
      <c r="AO13" s="13" t="s">
        <v>41</v>
      </c>
      <c r="AP13" s="14" t="s">
        <v>58</v>
      </c>
      <c r="AQ13" s="13" t="s">
        <v>56</v>
      </c>
      <c r="AR13" s="13" t="s">
        <v>56</v>
      </c>
    </row>
    <row r="14" spans="1:44" ht="15" customHeight="1" thickBot="1" x14ac:dyDescent="0.3">
      <c r="A14" s="1" t="s">
        <v>84</v>
      </c>
      <c r="J14" s="57" t="s">
        <v>85</v>
      </c>
      <c r="K14" s="58">
        <f>(M22+K10+K11+M5)*0.12</f>
        <v>1454.3999999999999</v>
      </c>
      <c r="L14" s="159"/>
      <c r="M14" s="160"/>
      <c r="N14" s="30"/>
      <c r="O14" s="4"/>
      <c r="P14" s="4"/>
      <c r="Q14" s="12" t="s">
        <v>86</v>
      </c>
      <c r="R14" s="13" t="s">
        <v>45</v>
      </c>
      <c r="S14" s="13" t="s">
        <v>58</v>
      </c>
      <c r="T14" s="13" t="s">
        <v>58</v>
      </c>
      <c r="U14" s="13" t="s">
        <v>44</v>
      </c>
      <c r="V14" s="13" t="s">
        <v>46</v>
      </c>
      <c r="W14" s="13" t="s">
        <v>48</v>
      </c>
      <c r="X14" s="13" t="s">
        <v>55</v>
      </c>
      <c r="Y14" s="13" t="s">
        <v>50</v>
      </c>
      <c r="Z14" s="13" t="s">
        <v>55</v>
      </c>
      <c r="AA14" s="13" t="s">
        <v>58</v>
      </c>
      <c r="AB14" s="13" t="s">
        <v>54</v>
      </c>
      <c r="AC14" s="13" t="s">
        <v>55</v>
      </c>
      <c r="AD14" s="13" t="s">
        <v>57</v>
      </c>
      <c r="AE14" s="13" t="s">
        <v>50</v>
      </c>
      <c r="AF14" s="13" t="s">
        <v>47</v>
      </c>
      <c r="AG14" s="13" t="s">
        <v>56</v>
      </c>
      <c r="AH14" s="13" t="s">
        <v>47</v>
      </c>
      <c r="AI14" s="13" t="s">
        <v>44</v>
      </c>
      <c r="AJ14" s="13" t="s">
        <v>50</v>
      </c>
      <c r="AK14" s="13" t="s">
        <v>48</v>
      </c>
      <c r="AL14" s="13" t="s">
        <v>46</v>
      </c>
      <c r="AM14" s="13" t="s">
        <v>42</v>
      </c>
      <c r="AN14" s="13" t="s">
        <v>48</v>
      </c>
      <c r="AO14" s="13" t="s">
        <v>45</v>
      </c>
      <c r="AP14" s="14" t="s">
        <v>56</v>
      </c>
      <c r="AQ14" s="13" t="s">
        <v>44</v>
      </c>
      <c r="AR14" s="13" t="s">
        <v>57</v>
      </c>
    </row>
    <row r="15" spans="1:44" ht="13.5" customHeight="1" thickBot="1" x14ac:dyDescent="0.3">
      <c r="J15" s="71"/>
      <c r="K15" s="72"/>
      <c r="L15" s="68"/>
      <c r="M15" s="31"/>
      <c r="N15" s="31"/>
      <c r="O15" s="4"/>
      <c r="P15" s="4"/>
      <c r="Q15" s="12" t="s">
        <v>87</v>
      </c>
      <c r="R15" s="13" t="s">
        <v>46</v>
      </c>
      <c r="S15" s="13" t="s">
        <v>47</v>
      </c>
      <c r="T15" s="13" t="s">
        <v>41</v>
      </c>
      <c r="U15" s="13" t="s">
        <v>58</v>
      </c>
      <c r="V15" s="13" t="s">
        <v>44</v>
      </c>
      <c r="W15" s="13" t="s">
        <v>48</v>
      </c>
      <c r="X15" s="13" t="s">
        <v>59</v>
      </c>
      <c r="Y15" s="13" t="s">
        <v>45</v>
      </c>
      <c r="Z15" s="13" t="s">
        <v>59</v>
      </c>
      <c r="AA15" s="13" t="s">
        <v>48</v>
      </c>
      <c r="AB15" s="13" t="s">
        <v>55</v>
      </c>
      <c r="AC15" s="13" t="s">
        <v>49</v>
      </c>
      <c r="AD15" s="13" t="s">
        <v>42</v>
      </c>
      <c r="AE15" s="13" t="s">
        <v>44</v>
      </c>
      <c r="AF15" s="13" t="s">
        <v>48</v>
      </c>
      <c r="AG15" s="13" t="s">
        <v>55</v>
      </c>
      <c r="AH15" s="13" t="s">
        <v>48</v>
      </c>
      <c r="AI15" s="13" t="s">
        <v>58</v>
      </c>
      <c r="AJ15" s="13" t="s">
        <v>42</v>
      </c>
      <c r="AK15" s="13" t="s">
        <v>41</v>
      </c>
      <c r="AL15" s="13" t="s">
        <v>56</v>
      </c>
      <c r="AM15" s="13" t="s">
        <v>50</v>
      </c>
      <c r="AN15" s="13" t="s">
        <v>41</v>
      </c>
      <c r="AO15" s="13" t="s">
        <v>42</v>
      </c>
      <c r="AP15" s="14" t="s">
        <v>55</v>
      </c>
      <c r="AQ15" s="13" t="s">
        <v>58</v>
      </c>
      <c r="AR15" s="13" t="s">
        <v>50</v>
      </c>
    </row>
    <row r="16" spans="1:44" ht="15" customHeight="1" thickBot="1" x14ac:dyDescent="0.3">
      <c r="A16" s="32" t="s">
        <v>2</v>
      </c>
      <c r="B16" s="218" t="s">
        <v>88</v>
      </c>
      <c r="C16" s="219"/>
      <c r="D16" s="219"/>
      <c r="E16" s="219"/>
      <c r="F16" s="219" t="s">
        <v>89</v>
      </c>
      <c r="G16" s="220"/>
      <c r="H16" s="218" t="s">
        <v>90</v>
      </c>
      <c r="I16" s="221"/>
      <c r="J16" s="60"/>
      <c r="K16" s="61"/>
      <c r="L16" s="62"/>
      <c r="M16" s="33"/>
      <c r="N16" s="34"/>
      <c r="O16" s="4"/>
      <c r="P16" s="4"/>
      <c r="Q16" s="12" t="s">
        <v>91</v>
      </c>
      <c r="R16" s="13" t="s">
        <v>47</v>
      </c>
      <c r="S16" s="13" t="s">
        <v>56</v>
      </c>
      <c r="T16" s="13" t="s">
        <v>58</v>
      </c>
      <c r="U16" s="13" t="s">
        <v>48</v>
      </c>
      <c r="V16" s="13" t="s">
        <v>42</v>
      </c>
      <c r="W16" s="13" t="s">
        <v>46</v>
      </c>
      <c r="X16" s="13" t="s">
        <v>54</v>
      </c>
      <c r="Y16" s="13" t="s">
        <v>49</v>
      </c>
      <c r="Z16" s="13" t="s">
        <v>54</v>
      </c>
      <c r="AA16" s="13" t="s">
        <v>46</v>
      </c>
      <c r="AB16" s="13" t="s">
        <v>92</v>
      </c>
      <c r="AC16" s="13" t="s">
        <v>42</v>
      </c>
      <c r="AD16" s="13" t="s">
        <v>39</v>
      </c>
      <c r="AE16" s="13" t="s">
        <v>44</v>
      </c>
      <c r="AF16" s="13" t="s">
        <v>50</v>
      </c>
      <c r="AG16" s="13" t="s">
        <v>55</v>
      </c>
      <c r="AH16" s="13" t="s">
        <v>50</v>
      </c>
      <c r="AI16" s="13" t="s">
        <v>50</v>
      </c>
      <c r="AJ16" s="13" t="s">
        <v>49</v>
      </c>
      <c r="AK16" s="13" t="s">
        <v>50</v>
      </c>
      <c r="AL16" s="13" t="s">
        <v>57</v>
      </c>
      <c r="AM16" s="13" t="s">
        <v>58</v>
      </c>
      <c r="AN16" s="13" t="s">
        <v>40</v>
      </c>
      <c r="AO16" s="13" t="s">
        <v>59</v>
      </c>
      <c r="AP16" s="14" t="s">
        <v>49</v>
      </c>
      <c r="AQ16" s="13" t="s">
        <v>57</v>
      </c>
      <c r="AR16" s="13" t="s">
        <v>64</v>
      </c>
    </row>
    <row r="17" spans="1:44" ht="16.2" customHeight="1" x14ac:dyDescent="0.25">
      <c r="A17" s="165">
        <v>1</v>
      </c>
      <c r="B17" s="185" t="s">
        <v>229</v>
      </c>
      <c r="C17" s="186"/>
      <c r="D17" s="186"/>
      <c r="E17" s="187"/>
      <c r="F17" s="173">
        <v>120000</v>
      </c>
      <c r="G17" s="174"/>
      <c r="H17" s="177" t="s">
        <v>93</v>
      </c>
      <c r="I17" s="178"/>
      <c r="J17" s="60"/>
      <c r="K17" s="42"/>
      <c r="L17" s="34"/>
      <c r="M17" s="31"/>
      <c r="N17" s="3"/>
      <c r="O17" s="4"/>
      <c r="P17" s="4"/>
      <c r="Q17" s="12" t="s">
        <v>94</v>
      </c>
      <c r="R17" s="13" t="s">
        <v>48</v>
      </c>
      <c r="S17" s="13" t="s">
        <v>50</v>
      </c>
      <c r="T17" s="13" t="s">
        <v>42</v>
      </c>
      <c r="U17" s="13" t="s">
        <v>48</v>
      </c>
      <c r="V17" s="13" t="s">
        <v>45</v>
      </c>
      <c r="W17" s="13" t="s">
        <v>57</v>
      </c>
      <c r="X17" s="13" t="s">
        <v>45</v>
      </c>
      <c r="Y17" s="13" t="s">
        <v>58</v>
      </c>
      <c r="Z17" s="13" t="s">
        <v>45</v>
      </c>
      <c r="AA17" s="13" t="s">
        <v>42</v>
      </c>
      <c r="AB17" s="13" t="s">
        <v>95</v>
      </c>
      <c r="AC17" s="13" t="s">
        <v>44</v>
      </c>
      <c r="AD17" s="13" t="s">
        <v>44</v>
      </c>
      <c r="AE17" s="13" t="s">
        <v>59</v>
      </c>
      <c r="AF17" s="13" t="s">
        <v>50</v>
      </c>
      <c r="AG17" s="13" t="s">
        <v>58</v>
      </c>
      <c r="AH17" s="13" t="s">
        <v>45</v>
      </c>
      <c r="AI17" s="13" t="s">
        <v>42</v>
      </c>
      <c r="AJ17" s="13" t="s">
        <v>58</v>
      </c>
      <c r="AK17" s="13" t="s">
        <v>45</v>
      </c>
      <c r="AL17" s="13" t="s">
        <v>41</v>
      </c>
      <c r="AM17" s="13" t="s">
        <v>58</v>
      </c>
      <c r="AN17" s="13" t="s">
        <v>43</v>
      </c>
      <c r="AO17" s="13" t="s">
        <v>47</v>
      </c>
      <c r="AP17" s="14" t="s">
        <v>44</v>
      </c>
      <c r="AQ17" s="13" t="s">
        <v>50</v>
      </c>
      <c r="AR17" s="13" t="s">
        <v>45</v>
      </c>
    </row>
    <row r="18" spans="1:44" ht="21.6" customHeight="1" thickBot="1" x14ac:dyDescent="0.3">
      <c r="A18" s="166"/>
      <c r="B18" s="188"/>
      <c r="C18" s="189"/>
      <c r="D18" s="189"/>
      <c r="E18" s="190"/>
      <c r="F18" s="175"/>
      <c r="G18" s="176"/>
      <c r="H18" s="179"/>
      <c r="I18" s="180"/>
      <c r="J18" s="60"/>
      <c r="K18" s="42"/>
      <c r="L18" s="34"/>
      <c r="M18" s="31"/>
      <c r="N18" s="3"/>
      <c r="O18" s="4"/>
      <c r="P18" s="4"/>
      <c r="Q18" s="12" t="s">
        <v>94</v>
      </c>
      <c r="R18" s="13" t="s">
        <v>48</v>
      </c>
      <c r="S18" s="13" t="s">
        <v>50</v>
      </c>
      <c r="T18" s="13" t="s">
        <v>42</v>
      </c>
      <c r="U18" s="13" t="s">
        <v>48</v>
      </c>
      <c r="V18" s="13" t="s">
        <v>45</v>
      </c>
      <c r="W18" s="13" t="s">
        <v>57</v>
      </c>
      <c r="X18" s="13" t="s">
        <v>45</v>
      </c>
      <c r="Y18" s="13" t="s">
        <v>58</v>
      </c>
      <c r="Z18" s="13" t="s">
        <v>45</v>
      </c>
      <c r="AA18" s="13" t="s">
        <v>42</v>
      </c>
      <c r="AB18" s="13" t="s">
        <v>95</v>
      </c>
      <c r="AC18" s="13" t="s">
        <v>44</v>
      </c>
      <c r="AD18" s="13" t="s">
        <v>44</v>
      </c>
      <c r="AE18" s="13" t="s">
        <v>59</v>
      </c>
      <c r="AF18" s="13" t="s">
        <v>50</v>
      </c>
      <c r="AG18" s="13" t="s">
        <v>58</v>
      </c>
      <c r="AH18" s="13" t="s">
        <v>45</v>
      </c>
      <c r="AI18" s="13" t="s">
        <v>42</v>
      </c>
      <c r="AJ18" s="13" t="s">
        <v>58</v>
      </c>
      <c r="AK18" s="13" t="s">
        <v>45</v>
      </c>
      <c r="AL18" s="13" t="s">
        <v>41</v>
      </c>
      <c r="AM18" s="13" t="s">
        <v>58</v>
      </c>
      <c r="AN18" s="13" t="s">
        <v>43</v>
      </c>
      <c r="AO18" s="13" t="s">
        <v>47</v>
      </c>
      <c r="AP18" s="14" t="s">
        <v>44</v>
      </c>
      <c r="AQ18" s="13" t="s">
        <v>50</v>
      </c>
      <c r="AR18" s="13" t="s">
        <v>45</v>
      </c>
    </row>
    <row r="19" spans="1:44" x14ac:dyDescent="0.25">
      <c r="J19" s="60"/>
      <c r="K19" s="42"/>
      <c r="L19" s="34"/>
      <c r="M19" s="31"/>
      <c r="N19" s="3"/>
      <c r="O19" s="4"/>
      <c r="P19" s="4"/>
      <c r="Q19" s="12" t="s">
        <v>96</v>
      </c>
      <c r="R19" s="13" t="s">
        <v>40</v>
      </c>
      <c r="S19" s="13" t="s">
        <v>49</v>
      </c>
      <c r="T19" s="13" t="s">
        <v>46</v>
      </c>
      <c r="U19" s="13" t="s">
        <v>40</v>
      </c>
      <c r="V19" s="13" t="s">
        <v>55</v>
      </c>
      <c r="W19" s="13" t="s">
        <v>49</v>
      </c>
      <c r="X19" s="13" t="s">
        <v>46</v>
      </c>
      <c r="Y19" s="13" t="s">
        <v>45</v>
      </c>
      <c r="Z19" s="13" t="s">
        <v>46</v>
      </c>
      <c r="AA19" s="13" t="s">
        <v>56</v>
      </c>
      <c r="AB19" s="13" t="s">
        <v>97</v>
      </c>
      <c r="AC19" s="13" t="s">
        <v>48</v>
      </c>
      <c r="AD19" s="13" t="s">
        <v>50</v>
      </c>
      <c r="AE19" s="13" t="s">
        <v>50</v>
      </c>
      <c r="AF19" s="13" t="s">
        <v>39</v>
      </c>
      <c r="AG19" s="13" t="s">
        <v>58</v>
      </c>
      <c r="AH19" s="13" t="s">
        <v>49</v>
      </c>
      <c r="AI19" s="13" t="s">
        <v>59</v>
      </c>
      <c r="AJ19" s="13" t="s">
        <v>46</v>
      </c>
      <c r="AK19" s="13" t="s">
        <v>49</v>
      </c>
      <c r="AL19" s="13" t="s">
        <v>48</v>
      </c>
      <c r="AM19" s="13" t="s">
        <v>43</v>
      </c>
      <c r="AN19" s="13" t="s">
        <v>60</v>
      </c>
      <c r="AO19" s="13" t="s">
        <v>47</v>
      </c>
      <c r="AP19" s="14" t="s">
        <v>44</v>
      </c>
      <c r="AQ19" s="13" t="s">
        <v>49</v>
      </c>
      <c r="AR19" s="13" t="s">
        <v>64</v>
      </c>
    </row>
    <row r="20" spans="1:44" ht="13.5" customHeight="1" thickBot="1" x14ac:dyDescent="0.3">
      <c r="A20" s="181" t="s">
        <v>98</v>
      </c>
      <c r="B20" s="181"/>
      <c r="C20" s="181"/>
      <c r="D20" s="181"/>
      <c r="E20" s="181"/>
      <c r="F20" s="181"/>
      <c r="G20" s="181"/>
      <c r="H20" s="181"/>
      <c r="I20" s="181"/>
      <c r="J20" s="60"/>
      <c r="K20" s="63"/>
      <c r="L20" s="64"/>
      <c r="M20" s="35"/>
      <c r="N20" s="3"/>
      <c r="O20" s="4"/>
      <c r="P20" s="4"/>
      <c r="Q20" s="12" t="s">
        <v>99</v>
      </c>
      <c r="R20" s="13" t="s">
        <v>48</v>
      </c>
      <c r="S20" s="13" t="s">
        <v>44</v>
      </c>
      <c r="T20" s="13" t="s">
        <v>47</v>
      </c>
      <c r="U20" s="13" t="s">
        <v>41</v>
      </c>
      <c r="V20" s="13" t="s">
        <v>50</v>
      </c>
      <c r="W20" s="13" t="s">
        <v>47</v>
      </c>
      <c r="X20" s="13" t="s">
        <v>42</v>
      </c>
      <c r="Y20" s="13" t="s">
        <v>42</v>
      </c>
      <c r="Z20" s="13" t="s">
        <v>42</v>
      </c>
      <c r="AA20" s="13" t="s">
        <v>48</v>
      </c>
      <c r="AB20" s="13" t="s">
        <v>100</v>
      </c>
      <c r="AC20" s="13" t="s">
        <v>55</v>
      </c>
      <c r="AD20" s="13" t="s">
        <v>55</v>
      </c>
      <c r="AE20" s="13" t="s">
        <v>58</v>
      </c>
      <c r="AF20" s="13" t="s">
        <v>58</v>
      </c>
      <c r="AG20" s="13" t="s">
        <v>75</v>
      </c>
      <c r="AH20" s="13" t="s">
        <v>58</v>
      </c>
      <c r="AI20" s="13" t="s">
        <v>58</v>
      </c>
      <c r="AJ20" s="13" t="s">
        <v>54</v>
      </c>
      <c r="AK20" s="13" t="s">
        <v>47</v>
      </c>
      <c r="AL20" s="13" t="s">
        <v>54</v>
      </c>
      <c r="AM20" s="13" t="s">
        <v>58</v>
      </c>
      <c r="AN20" s="13" t="s">
        <v>40</v>
      </c>
      <c r="AO20" s="13" t="s">
        <v>39</v>
      </c>
      <c r="AP20" s="14" t="s">
        <v>39</v>
      </c>
      <c r="AQ20" s="13" t="s">
        <v>46</v>
      </c>
      <c r="AR20" s="13" t="s">
        <v>44</v>
      </c>
    </row>
    <row r="21" spans="1:44" ht="13.5" customHeight="1" thickBot="1" x14ac:dyDescent="0.3">
      <c r="A21" s="151" t="s">
        <v>101</v>
      </c>
      <c r="B21" s="151"/>
      <c r="C21" s="151"/>
      <c r="D21" s="151"/>
      <c r="E21" s="151"/>
      <c r="F21" s="151"/>
      <c r="G21" s="151"/>
      <c r="H21" s="151"/>
      <c r="I21" s="151"/>
      <c r="J21" s="60"/>
      <c r="K21" s="63"/>
      <c r="L21" s="64"/>
      <c r="M21" s="22"/>
      <c r="N21" s="36" t="s">
        <v>102</v>
      </c>
      <c r="O21" s="4"/>
      <c r="P21" s="4"/>
      <c r="Q21" s="12" t="s">
        <v>103</v>
      </c>
      <c r="R21" s="13" t="s">
        <v>40</v>
      </c>
      <c r="S21" s="13" t="s">
        <v>49</v>
      </c>
      <c r="T21" s="13" t="s">
        <v>46</v>
      </c>
      <c r="U21" s="13" t="s">
        <v>40</v>
      </c>
      <c r="V21" s="13" t="s">
        <v>54</v>
      </c>
      <c r="W21" s="13" t="s">
        <v>54</v>
      </c>
      <c r="X21" s="13" t="s">
        <v>46</v>
      </c>
      <c r="Y21" s="13" t="s">
        <v>45</v>
      </c>
      <c r="Z21" s="13" t="s">
        <v>46</v>
      </c>
      <c r="AA21" s="13" t="s">
        <v>57</v>
      </c>
      <c r="AB21" s="13" t="s">
        <v>97</v>
      </c>
      <c r="AC21" s="13" t="s">
        <v>48</v>
      </c>
      <c r="AD21" s="13" t="s">
        <v>50</v>
      </c>
      <c r="AE21" s="13" t="s">
        <v>45</v>
      </c>
      <c r="AF21" s="13" t="s">
        <v>49</v>
      </c>
      <c r="AG21" s="13" t="s">
        <v>58</v>
      </c>
      <c r="AH21" s="13" t="s">
        <v>39</v>
      </c>
      <c r="AI21" s="13" t="s">
        <v>59</v>
      </c>
      <c r="AJ21" s="13" t="s">
        <v>46</v>
      </c>
      <c r="AK21" s="13" t="s">
        <v>49</v>
      </c>
      <c r="AL21" s="13" t="s">
        <v>48</v>
      </c>
      <c r="AM21" s="13" t="s">
        <v>41</v>
      </c>
      <c r="AN21" s="13" t="s">
        <v>60</v>
      </c>
      <c r="AO21" s="13" t="s">
        <v>48</v>
      </c>
      <c r="AP21" s="14" t="s">
        <v>46</v>
      </c>
      <c r="AQ21" s="13" t="s">
        <v>49</v>
      </c>
      <c r="AR21" s="13" t="s">
        <v>45</v>
      </c>
    </row>
    <row r="22" spans="1:44" ht="15" customHeight="1" thickBot="1" x14ac:dyDescent="0.3">
      <c r="A22" s="32" t="s">
        <v>2</v>
      </c>
      <c r="B22" s="218" t="s">
        <v>104</v>
      </c>
      <c r="C22" s="219"/>
      <c r="D22" s="220"/>
      <c r="E22" s="218" t="s">
        <v>105</v>
      </c>
      <c r="F22" s="219"/>
      <c r="G22" s="220"/>
      <c r="H22" s="218" t="s">
        <v>106</v>
      </c>
      <c r="I22" s="221"/>
      <c r="J22" s="75" t="s">
        <v>107</v>
      </c>
      <c r="K22" s="184" t="s">
        <v>108</v>
      </c>
      <c r="L22" s="184"/>
      <c r="M22" s="65">
        <f>K7+K8+K9+N22</f>
        <v>12000</v>
      </c>
      <c r="N22" s="37">
        <v>0</v>
      </c>
      <c r="O22" s="4"/>
      <c r="P22" s="4"/>
      <c r="Q22" s="12" t="s">
        <v>109</v>
      </c>
      <c r="R22" s="13" t="s">
        <v>41</v>
      </c>
      <c r="S22" s="13" t="s">
        <v>59</v>
      </c>
      <c r="T22" s="13" t="s">
        <v>42</v>
      </c>
      <c r="U22" s="13" t="s">
        <v>48</v>
      </c>
      <c r="V22" s="13" t="s">
        <v>59</v>
      </c>
      <c r="W22" s="13" t="s">
        <v>55</v>
      </c>
      <c r="X22" s="13" t="s">
        <v>44</v>
      </c>
      <c r="Y22" s="13" t="s">
        <v>50</v>
      </c>
      <c r="Z22" s="13" t="s">
        <v>44</v>
      </c>
      <c r="AA22" s="13" t="s">
        <v>55</v>
      </c>
      <c r="AB22" s="13" t="s">
        <v>110</v>
      </c>
      <c r="AC22" s="13" t="s">
        <v>58</v>
      </c>
      <c r="AD22" s="13" t="s">
        <v>50</v>
      </c>
      <c r="AE22" s="13" t="s">
        <v>42</v>
      </c>
      <c r="AF22" s="13" t="s">
        <v>59</v>
      </c>
      <c r="AG22" s="13" t="s">
        <v>58</v>
      </c>
      <c r="AH22" s="13" t="s">
        <v>59</v>
      </c>
      <c r="AI22" s="13" t="s">
        <v>54</v>
      </c>
      <c r="AJ22" s="13" t="s">
        <v>46</v>
      </c>
      <c r="AK22" s="13" t="s">
        <v>59</v>
      </c>
      <c r="AL22" s="13" t="s">
        <v>48</v>
      </c>
      <c r="AM22" s="13" t="s">
        <v>47</v>
      </c>
      <c r="AN22" s="13" t="s">
        <v>40</v>
      </c>
      <c r="AO22" s="13" t="s">
        <v>47</v>
      </c>
      <c r="AP22" s="14" t="s">
        <v>44</v>
      </c>
      <c r="AQ22" s="13" t="s">
        <v>42</v>
      </c>
      <c r="AR22" s="13" t="s">
        <v>57</v>
      </c>
    </row>
    <row r="23" spans="1:44" ht="13.5" customHeight="1" x14ac:dyDescent="0.25">
      <c r="A23" s="91">
        <v>1</v>
      </c>
      <c r="B23" s="196" t="s">
        <v>230</v>
      </c>
      <c r="C23" s="196"/>
      <c r="D23" s="196"/>
      <c r="E23" s="196" t="s">
        <v>234</v>
      </c>
      <c r="F23" s="196"/>
      <c r="G23" s="196"/>
      <c r="H23" s="197" t="s">
        <v>232</v>
      </c>
      <c r="I23" s="198"/>
      <c r="K23" s="195"/>
      <c r="L23" s="195"/>
      <c r="M23" s="22"/>
      <c r="O23" s="4"/>
      <c r="P23" s="4"/>
      <c r="Q23" s="12" t="s">
        <v>111</v>
      </c>
      <c r="R23" s="13" t="s">
        <v>41</v>
      </c>
      <c r="S23" s="13" t="s">
        <v>50</v>
      </c>
      <c r="T23" s="13" t="s">
        <v>47</v>
      </c>
      <c r="U23" s="13" t="s">
        <v>43</v>
      </c>
      <c r="V23" s="13" t="s">
        <v>57</v>
      </c>
      <c r="W23" s="13" t="s">
        <v>44</v>
      </c>
      <c r="X23" s="13" t="s">
        <v>42</v>
      </c>
      <c r="Y23" s="13" t="s">
        <v>39</v>
      </c>
      <c r="Z23" s="13" t="s">
        <v>42</v>
      </c>
      <c r="AA23" s="13" t="s">
        <v>58</v>
      </c>
      <c r="AB23" s="13" t="s">
        <v>95</v>
      </c>
      <c r="AC23" s="13" t="s">
        <v>42</v>
      </c>
      <c r="AD23" s="13" t="s">
        <v>49</v>
      </c>
      <c r="AE23" s="13" t="s">
        <v>58</v>
      </c>
      <c r="AF23" s="13" t="s">
        <v>46</v>
      </c>
      <c r="AG23" s="13" t="s">
        <v>54</v>
      </c>
      <c r="AH23" s="13" t="s">
        <v>46</v>
      </c>
      <c r="AI23" s="13" t="s">
        <v>46</v>
      </c>
      <c r="AJ23" s="13" t="s">
        <v>112</v>
      </c>
      <c r="AK23" s="13" t="s">
        <v>44</v>
      </c>
      <c r="AL23" s="13" t="s">
        <v>57</v>
      </c>
      <c r="AM23" s="13" t="s">
        <v>47</v>
      </c>
      <c r="AN23" s="13" t="s">
        <v>60</v>
      </c>
      <c r="AO23" s="13" t="s">
        <v>59</v>
      </c>
      <c r="AP23" s="14" t="s">
        <v>39</v>
      </c>
      <c r="AQ23" s="13" t="s">
        <v>45</v>
      </c>
      <c r="AR23" s="13" t="s">
        <v>50</v>
      </c>
    </row>
    <row r="24" spans="1:44" ht="13.5" customHeight="1" thickBot="1" x14ac:dyDescent="0.3">
      <c r="A24" s="90">
        <v>2</v>
      </c>
      <c r="B24" s="222" t="s">
        <v>234</v>
      </c>
      <c r="C24" s="222"/>
      <c r="D24" s="222"/>
      <c r="E24" s="222" t="s">
        <v>230</v>
      </c>
      <c r="F24" s="222"/>
      <c r="G24" s="222"/>
      <c r="H24" s="223" t="s">
        <v>233</v>
      </c>
      <c r="I24" s="224"/>
      <c r="K24" s="195"/>
      <c r="L24" s="195"/>
      <c r="M24" s="22"/>
      <c r="O24" s="4"/>
      <c r="P24" s="4"/>
      <c r="Q24" s="12" t="s">
        <v>113</v>
      </c>
      <c r="R24" s="13" t="s">
        <v>40</v>
      </c>
      <c r="S24" s="13" t="s">
        <v>49</v>
      </c>
      <c r="T24" s="13" t="s">
        <v>46</v>
      </c>
      <c r="U24" s="13" t="s">
        <v>40</v>
      </c>
      <c r="V24" s="13" t="s">
        <v>59</v>
      </c>
      <c r="W24" s="13" t="s">
        <v>49</v>
      </c>
      <c r="X24" s="13" t="s">
        <v>44</v>
      </c>
      <c r="Y24" s="13" t="s">
        <v>50</v>
      </c>
      <c r="Z24" s="13" t="s">
        <v>44</v>
      </c>
      <c r="AA24" s="13" t="s">
        <v>57</v>
      </c>
      <c r="AB24" s="13" t="s">
        <v>114</v>
      </c>
      <c r="AC24" s="13" t="s">
        <v>41</v>
      </c>
      <c r="AD24" s="13" t="s">
        <v>50</v>
      </c>
      <c r="AE24" s="13" t="s">
        <v>45</v>
      </c>
      <c r="AF24" s="13" t="s">
        <v>49</v>
      </c>
      <c r="AG24" s="13" t="s">
        <v>47</v>
      </c>
      <c r="AH24" s="13" t="s">
        <v>49</v>
      </c>
      <c r="AI24" s="13" t="s">
        <v>59</v>
      </c>
      <c r="AJ24" s="13" t="s">
        <v>44</v>
      </c>
      <c r="AK24" s="13" t="s">
        <v>39</v>
      </c>
      <c r="AL24" s="13" t="s">
        <v>41</v>
      </c>
      <c r="AM24" s="13" t="s">
        <v>43</v>
      </c>
      <c r="AN24" s="13" t="s">
        <v>60</v>
      </c>
      <c r="AO24" s="13" t="s">
        <v>48</v>
      </c>
      <c r="AP24" s="14" t="s">
        <v>44</v>
      </c>
      <c r="AQ24" s="13" t="s">
        <v>54</v>
      </c>
      <c r="AR24" s="13" t="s">
        <v>64</v>
      </c>
    </row>
    <row r="25" spans="1:44" ht="15" customHeight="1" thickBot="1" x14ac:dyDescent="0.3">
      <c r="J25" s="27"/>
      <c r="K25" s="195"/>
      <c r="L25" s="195"/>
      <c r="M25" s="66"/>
      <c r="N25" s="67"/>
      <c r="O25" s="4"/>
      <c r="P25" s="4"/>
      <c r="Q25" s="12" t="s">
        <v>115</v>
      </c>
      <c r="R25" s="13" t="s">
        <v>43</v>
      </c>
      <c r="S25" s="13" t="s">
        <v>47</v>
      </c>
      <c r="T25" s="13" t="s">
        <v>43</v>
      </c>
      <c r="U25" s="13" t="s">
        <v>40</v>
      </c>
      <c r="V25" s="13" t="s">
        <v>44</v>
      </c>
      <c r="W25" s="13" t="s">
        <v>41</v>
      </c>
      <c r="X25" s="13" t="s">
        <v>56</v>
      </c>
      <c r="Y25" s="13" t="s">
        <v>45</v>
      </c>
      <c r="Z25" s="13" t="s">
        <v>56</v>
      </c>
      <c r="AA25" s="13" t="s">
        <v>43</v>
      </c>
      <c r="AB25" s="13" t="s">
        <v>116</v>
      </c>
      <c r="AC25" s="13" t="s">
        <v>56</v>
      </c>
      <c r="AD25" s="13" t="s">
        <v>57</v>
      </c>
      <c r="AE25" s="13" t="s">
        <v>41</v>
      </c>
      <c r="AF25" s="13" t="s">
        <v>48</v>
      </c>
      <c r="AG25" s="13" t="s">
        <v>54</v>
      </c>
      <c r="AH25" s="13" t="s">
        <v>48</v>
      </c>
      <c r="AI25" s="13" t="s">
        <v>48</v>
      </c>
      <c r="AJ25" s="13" t="s">
        <v>57</v>
      </c>
      <c r="AK25" s="13" t="s">
        <v>41</v>
      </c>
      <c r="AL25" s="13" t="s">
        <v>75</v>
      </c>
      <c r="AM25" s="13" t="s">
        <v>48</v>
      </c>
      <c r="AN25" s="13" t="s">
        <v>60</v>
      </c>
      <c r="AO25" s="13" t="s">
        <v>39</v>
      </c>
      <c r="AP25" s="14" t="s">
        <v>55</v>
      </c>
      <c r="AQ25" s="13" t="s">
        <v>58</v>
      </c>
      <c r="AR25" s="13" t="s">
        <v>58</v>
      </c>
    </row>
    <row r="26" spans="1:44" x14ac:dyDescent="0.25">
      <c r="A26" s="78"/>
      <c r="B26" s="78"/>
      <c r="C26" s="85" t="s">
        <v>117</v>
      </c>
      <c r="D26" s="86"/>
      <c r="E26" s="199">
        <f>M22</f>
        <v>12000</v>
      </c>
      <c r="F26" s="200"/>
      <c r="G26" s="201"/>
      <c r="H26" s="78"/>
      <c r="I26" s="78"/>
      <c r="L26" s="28"/>
      <c r="M26" s="31"/>
      <c r="N26" s="30"/>
      <c r="O26" s="4"/>
      <c r="P26" s="4"/>
      <c r="Q26" s="12" t="s">
        <v>118</v>
      </c>
      <c r="R26" s="13" t="s">
        <v>49</v>
      </c>
      <c r="S26" s="13" t="s">
        <v>41</v>
      </c>
      <c r="T26" s="13" t="s">
        <v>47</v>
      </c>
      <c r="U26" s="13" t="s">
        <v>42</v>
      </c>
      <c r="V26" s="13" t="s">
        <v>41</v>
      </c>
      <c r="W26" s="13" t="s">
        <v>41</v>
      </c>
      <c r="X26" s="13" t="s">
        <v>50</v>
      </c>
      <c r="Y26" s="13" t="s">
        <v>47</v>
      </c>
      <c r="Z26" s="13" t="s">
        <v>50</v>
      </c>
      <c r="AA26" s="13" t="s">
        <v>48</v>
      </c>
      <c r="AB26" s="13" t="s">
        <v>119</v>
      </c>
      <c r="AC26" s="13" t="s">
        <v>50</v>
      </c>
      <c r="AD26" s="13" t="s">
        <v>58</v>
      </c>
      <c r="AE26" s="13" t="s">
        <v>58</v>
      </c>
      <c r="AF26" s="13" t="s">
        <v>43</v>
      </c>
      <c r="AG26" s="13" t="s">
        <v>58</v>
      </c>
      <c r="AH26" s="13" t="s">
        <v>41</v>
      </c>
      <c r="AI26" s="13" t="s">
        <v>47</v>
      </c>
      <c r="AJ26" s="13" t="s">
        <v>47</v>
      </c>
      <c r="AK26" s="13" t="s">
        <v>43</v>
      </c>
      <c r="AL26" s="13" t="s">
        <v>48</v>
      </c>
      <c r="AM26" s="13" t="s">
        <v>39</v>
      </c>
      <c r="AN26" s="13" t="s">
        <v>57</v>
      </c>
      <c r="AO26" s="13" t="s">
        <v>47</v>
      </c>
      <c r="AP26" s="14" t="s">
        <v>58</v>
      </c>
      <c r="AQ26" s="13" t="s">
        <v>43</v>
      </c>
      <c r="AR26" s="13" t="s">
        <v>58</v>
      </c>
    </row>
    <row r="27" spans="1:44" ht="15.75" customHeight="1" x14ac:dyDescent="0.25">
      <c r="A27" s="79"/>
      <c r="B27" s="81"/>
      <c r="C27" s="43" t="s">
        <v>120</v>
      </c>
      <c r="D27" s="44"/>
      <c r="E27" s="202">
        <f>K12</f>
        <v>120</v>
      </c>
      <c r="F27" s="203"/>
      <c r="G27" s="204"/>
      <c r="H27" s="82"/>
      <c r="I27" s="82"/>
      <c r="O27" s="4"/>
      <c r="P27" s="4"/>
      <c r="Q27" s="12" t="s">
        <v>121</v>
      </c>
      <c r="R27" s="13" t="s">
        <v>50</v>
      </c>
      <c r="S27" s="13" t="s">
        <v>60</v>
      </c>
      <c r="T27" s="13" t="s">
        <v>40</v>
      </c>
      <c r="U27" s="13" t="s">
        <v>42</v>
      </c>
      <c r="V27" s="13" t="s">
        <v>60</v>
      </c>
      <c r="W27" s="13" t="s">
        <v>60</v>
      </c>
      <c r="X27" s="13" t="s">
        <v>41</v>
      </c>
      <c r="Y27" s="13" t="s">
        <v>60</v>
      </c>
      <c r="Z27" s="13" t="s">
        <v>41</v>
      </c>
      <c r="AA27" s="13" t="s">
        <v>60</v>
      </c>
      <c r="AB27" s="13" t="s">
        <v>114</v>
      </c>
      <c r="AC27" s="13" t="s">
        <v>41</v>
      </c>
      <c r="AD27" s="13" t="s">
        <v>40</v>
      </c>
      <c r="AE27" s="13" t="s">
        <v>43</v>
      </c>
      <c r="AF27" s="13" t="s">
        <v>60</v>
      </c>
      <c r="AG27" s="13" t="s">
        <v>40</v>
      </c>
      <c r="AH27" s="13" t="s">
        <v>60</v>
      </c>
      <c r="AI27" s="13" t="s">
        <v>40</v>
      </c>
      <c r="AJ27" s="13" t="s">
        <v>60</v>
      </c>
      <c r="AK27" s="13" t="s">
        <v>60</v>
      </c>
      <c r="AL27" s="13" t="s">
        <v>60</v>
      </c>
      <c r="AM27" s="13" t="s">
        <v>57</v>
      </c>
      <c r="AN27" s="13" t="s">
        <v>59</v>
      </c>
      <c r="AO27" s="13" t="s">
        <v>60</v>
      </c>
      <c r="AP27" s="14" t="s">
        <v>40</v>
      </c>
      <c r="AQ27" s="13" t="s">
        <v>60</v>
      </c>
      <c r="AR27" s="13" t="s">
        <v>48</v>
      </c>
    </row>
    <row r="28" spans="1:44" ht="15.75" customHeight="1" thickBot="1" x14ac:dyDescent="0.3">
      <c r="C28" s="83" t="s">
        <v>122</v>
      </c>
      <c r="D28" s="84"/>
      <c r="E28" s="205">
        <v>0</v>
      </c>
      <c r="F28" s="206"/>
      <c r="G28" s="207"/>
      <c r="J28" s="1" t="s">
        <v>81</v>
      </c>
      <c r="N28" s="3"/>
      <c r="O28" s="4"/>
      <c r="P28" s="4"/>
      <c r="Q28" s="12" t="s">
        <v>123</v>
      </c>
      <c r="R28" s="50" t="s">
        <v>41</v>
      </c>
      <c r="S28" s="50" t="s">
        <v>58</v>
      </c>
      <c r="T28" s="50" t="s">
        <v>48</v>
      </c>
      <c r="U28" s="50" t="s">
        <v>43</v>
      </c>
      <c r="V28" s="50" t="s">
        <v>46</v>
      </c>
      <c r="W28" s="50" t="s">
        <v>48</v>
      </c>
      <c r="X28" s="50" t="s">
        <v>42</v>
      </c>
      <c r="Y28" s="50" t="s">
        <v>57</v>
      </c>
      <c r="Z28" s="50" t="s">
        <v>42</v>
      </c>
      <c r="AA28" s="50" t="s">
        <v>41</v>
      </c>
      <c r="AB28" s="50" t="s">
        <v>124</v>
      </c>
      <c r="AC28" s="50" t="s">
        <v>42</v>
      </c>
      <c r="AD28" s="50" t="s">
        <v>59</v>
      </c>
      <c r="AE28" s="50" t="s">
        <v>47</v>
      </c>
      <c r="AF28" s="50" t="s">
        <v>47</v>
      </c>
      <c r="AG28" s="50" t="s">
        <v>39</v>
      </c>
      <c r="AH28" s="50" t="s">
        <v>48</v>
      </c>
      <c r="AI28" s="50" t="s">
        <v>47</v>
      </c>
      <c r="AJ28" s="50" t="s">
        <v>59</v>
      </c>
      <c r="AK28" s="50" t="s">
        <v>48</v>
      </c>
      <c r="AL28" s="50" t="s">
        <v>39</v>
      </c>
      <c r="AM28" s="50" t="s">
        <v>47</v>
      </c>
      <c r="AN28" s="50" t="s">
        <v>60</v>
      </c>
      <c r="AO28" s="50" t="s">
        <v>75</v>
      </c>
      <c r="AP28" s="50" t="s">
        <v>49</v>
      </c>
      <c r="AQ28" s="50" t="s">
        <v>44</v>
      </c>
      <c r="AR28" s="50" t="s">
        <v>44</v>
      </c>
    </row>
    <row r="29" spans="1:44" ht="15.75" customHeight="1" x14ac:dyDescent="0.25">
      <c r="A29" s="28"/>
      <c r="B29" s="80"/>
      <c r="C29" s="208" t="s">
        <v>125</v>
      </c>
      <c r="D29" s="209"/>
      <c r="E29" s="212">
        <f>SUM(E26:G28)</f>
        <v>12120</v>
      </c>
      <c r="F29" s="213"/>
      <c r="G29" s="214"/>
      <c r="H29" s="80"/>
      <c r="I29" s="80"/>
      <c r="N29" s="3"/>
      <c r="O29" s="4"/>
      <c r="P29" s="4"/>
      <c r="Q29" s="38" t="s">
        <v>126</v>
      </c>
      <c r="R29" s="14" t="s">
        <v>48</v>
      </c>
      <c r="S29" s="14" t="s">
        <v>46</v>
      </c>
      <c r="T29" s="14" t="s">
        <v>58</v>
      </c>
      <c r="U29" s="14" t="s">
        <v>41</v>
      </c>
      <c r="V29" s="14" t="s">
        <v>45</v>
      </c>
      <c r="W29" s="14" t="s">
        <v>58</v>
      </c>
      <c r="X29" s="14" t="s">
        <v>54</v>
      </c>
      <c r="Y29" s="14" t="s">
        <v>55</v>
      </c>
      <c r="Z29" s="14" t="s">
        <v>54</v>
      </c>
      <c r="AA29" s="14" t="s">
        <v>58</v>
      </c>
      <c r="AB29" s="14" t="s">
        <v>100</v>
      </c>
      <c r="AC29" s="14" t="s">
        <v>55</v>
      </c>
      <c r="AD29" s="14" t="s">
        <v>49</v>
      </c>
      <c r="AE29" s="14" t="s">
        <v>44</v>
      </c>
      <c r="AF29" s="14" t="s">
        <v>44</v>
      </c>
      <c r="AG29" s="14" t="s">
        <v>39</v>
      </c>
      <c r="AH29" s="14" t="s">
        <v>46</v>
      </c>
      <c r="AI29" s="14" t="s">
        <v>44</v>
      </c>
      <c r="AJ29" s="14" t="s">
        <v>39</v>
      </c>
      <c r="AK29" s="14" t="s">
        <v>44</v>
      </c>
      <c r="AL29" s="14" t="s">
        <v>55</v>
      </c>
      <c r="AM29" s="14" t="s">
        <v>58</v>
      </c>
      <c r="AN29" s="14" t="s">
        <v>40</v>
      </c>
      <c r="AO29" s="14" t="s">
        <v>49</v>
      </c>
      <c r="AP29" s="14" t="s">
        <v>112</v>
      </c>
      <c r="AQ29" s="14" t="s">
        <v>50</v>
      </c>
      <c r="AR29" s="14" t="s">
        <v>50</v>
      </c>
    </row>
    <row r="30" spans="1:44" ht="15.75" customHeight="1" thickBot="1" x14ac:dyDescent="0.3">
      <c r="C30" s="210"/>
      <c r="D30" s="211"/>
      <c r="E30" s="215"/>
      <c r="F30" s="216"/>
      <c r="G30" s="217"/>
      <c r="M30" s="41"/>
      <c r="N30" s="4"/>
      <c r="Q30" s="12" t="s">
        <v>127</v>
      </c>
      <c r="R30" s="13" t="s">
        <v>40</v>
      </c>
      <c r="S30" s="13" t="s">
        <v>49</v>
      </c>
      <c r="T30" s="13" t="s">
        <v>46</v>
      </c>
      <c r="U30" s="13" t="s">
        <v>60</v>
      </c>
      <c r="V30" s="13" t="s">
        <v>54</v>
      </c>
      <c r="W30" s="13" t="s">
        <v>59</v>
      </c>
      <c r="X30" s="13" t="s">
        <v>45</v>
      </c>
      <c r="Y30" s="13" t="s">
        <v>42</v>
      </c>
      <c r="Z30" s="13" t="s">
        <v>45</v>
      </c>
      <c r="AA30" s="13" t="s">
        <v>56</v>
      </c>
      <c r="AB30" s="13" t="s">
        <v>110</v>
      </c>
      <c r="AC30" s="13" t="s">
        <v>58</v>
      </c>
      <c r="AD30" s="13" t="s">
        <v>57</v>
      </c>
      <c r="AE30" s="13" t="s">
        <v>50</v>
      </c>
      <c r="AF30" s="13" t="s">
        <v>49</v>
      </c>
      <c r="AG30" s="13" t="s">
        <v>46</v>
      </c>
      <c r="AH30" s="13" t="s">
        <v>49</v>
      </c>
      <c r="AI30" s="13" t="s">
        <v>42</v>
      </c>
      <c r="AJ30" s="13" t="s">
        <v>45</v>
      </c>
      <c r="AK30" s="13" t="s">
        <v>54</v>
      </c>
      <c r="AL30" s="13" t="s">
        <v>58</v>
      </c>
      <c r="AM30" s="13" t="s">
        <v>43</v>
      </c>
      <c r="AN30" s="13" t="s">
        <v>60</v>
      </c>
      <c r="AO30" s="13" t="s">
        <v>44</v>
      </c>
      <c r="AP30" s="14" t="s">
        <v>50</v>
      </c>
      <c r="AQ30" s="13" t="s">
        <v>39</v>
      </c>
      <c r="AR30" s="13" t="s">
        <v>56</v>
      </c>
    </row>
    <row r="31" spans="1:44" x14ac:dyDescent="0.25">
      <c r="A31" s="27"/>
      <c r="B31" s="27"/>
      <c r="C31" s="27"/>
      <c r="D31" s="27"/>
      <c r="E31" s="27"/>
      <c r="F31" s="27"/>
      <c r="G31" s="27"/>
      <c r="H31" s="27"/>
      <c r="I31" s="27"/>
      <c r="M31" s="26"/>
      <c r="N31" s="26"/>
      <c r="Q31" s="12" t="s">
        <v>128</v>
      </c>
      <c r="R31" s="13" t="s">
        <v>51</v>
      </c>
      <c r="S31" s="13" t="s">
        <v>45</v>
      </c>
      <c r="T31" s="13" t="s">
        <v>64</v>
      </c>
      <c r="U31" s="13" t="s">
        <v>58</v>
      </c>
      <c r="V31" s="13" t="s">
        <v>56</v>
      </c>
      <c r="W31" s="13" t="s">
        <v>64</v>
      </c>
      <c r="X31" s="13" t="s">
        <v>55</v>
      </c>
      <c r="Y31" s="13" t="s">
        <v>50</v>
      </c>
      <c r="Z31" s="13" t="s">
        <v>59</v>
      </c>
      <c r="AA31" s="13" t="s">
        <v>56</v>
      </c>
      <c r="AB31" s="13" t="s">
        <v>92</v>
      </c>
      <c r="AC31" s="13" t="s">
        <v>50</v>
      </c>
      <c r="AD31" s="13" t="s">
        <v>64</v>
      </c>
      <c r="AE31" s="13" t="s">
        <v>45</v>
      </c>
      <c r="AF31" s="13" t="s">
        <v>64</v>
      </c>
      <c r="AG31" s="13" t="s">
        <v>44</v>
      </c>
      <c r="AH31" s="13" t="s">
        <v>45</v>
      </c>
      <c r="AI31" s="13" t="s">
        <v>57</v>
      </c>
      <c r="AJ31" s="13" t="s">
        <v>50</v>
      </c>
      <c r="AK31" s="13" t="s">
        <v>64</v>
      </c>
      <c r="AL31" s="13" t="s">
        <v>58</v>
      </c>
      <c r="AM31" s="13" t="s">
        <v>58</v>
      </c>
      <c r="AN31" s="13" t="s">
        <v>48</v>
      </c>
      <c r="AO31" s="13" t="s">
        <v>44</v>
      </c>
      <c r="AP31" s="14" t="s">
        <v>50</v>
      </c>
      <c r="AQ31" s="13" t="s">
        <v>56</v>
      </c>
      <c r="AR31" s="13" t="s">
        <v>54</v>
      </c>
    </row>
    <row r="32" spans="1:44" ht="13.5" customHeight="1" x14ac:dyDescent="0.25">
      <c r="A32" s="181" t="s">
        <v>129</v>
      </c>
      <c r="B32" s="181"/>
      <c r="C32" s="181"/>
      <c r="D32" s="181"/>
      <c r="E32" s="181"/>
      <c r="F32" s="181"/>
      <c r="G32" s="181"/>
      <c r="H32" s="181"/>
      <c r="I32" s="181"/>
      <c r="J32" s="60"/>
      <c r="K32" s="63"/>
      <c r="L32" s="64" t="s">
        <v>130</v>
      </c>
      <c r="M32" s="93">
        <v>7.3999999999999996E-2</v>
      </c>
      <c r="N32" s="3" t="s">
        <v>102</v>
      </c>
      <c r="O32" s="4"/>
      <c r="P32" s="4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4"/>
      <c r="AQ32" s="13"/>
      <c r="AR32" s="13"/>
    </row>
    <row r="33" spans="1:14" ht="15" customHeight="1" thickBot="1" x14ac:dyDescent="0.3">
      <c r="A33" s="181" t="s">
        <v>131</v>
      </c>
      <c r="B33" s="181"/>
      <c r="C33" s="181"/>
      <c r="D33" s="181"/>
      <c r="E33" s="181"/>
      <c r="F33" s="181"/>
      <c r="G33" s="181"/>
      <c r="H33" s="181"/>
      <c r="I33" s="181"/>
      <c r="L33" s="74" t="s">
        <v>132</v>
      </c>
      <c r="M33" s="35">
        <f>E29*M32</f>
        <v>896.88</v>
      </c>
      <c r="N33" s="35">
        <f>N22-M33</f>
        <v>-896.88</v>
      </c>
    </row>
    <row r="34" spans="1:14" ht="13.8" thickBot="1" x14ac:dyDescent="0.3">
      <c r="A34" s="88" t="s">
        <v>2</v>
      </c>
      <c r="B34" s="292" t="s">
        <v>133</v>
      </c>
      <c r="C34" s="292"/>
      <c r="D34" s="292"/>
      <c r="E34" s="292" t="s">
        <v>134</v>
      </c>
      <c r="F34" s="292"/>
      <c r="G34" s="292"/>
      <c r="H34" s="292" t="s">
        <v>135</v>
      </c>
      <c r="I34" s="293"/>
      <c r="L34" s="28" t="s">
        <v>136</v>
      </c>
      <c r="M34" s="35">
        <f>E38*M32</f>
        <v>896.88</v>
      </c>
      <c r="N34" s="35">
        <f>N22-M34</f>
        <v>-896.88</v>
      </c>
    </row>
    <row r="35" spans="1:14" ht="23.4" customHeight="1" x14ac:dyDescent="0.25">
      <c r="A35" s="87">
        <v>1</v>
      </c>
      <c r="B35" s="278" t="s">
        <v>171</v>
      </c>
      <c r="C35" s="278"/>
      <c r="D35" s="278"/>
      <c r="E35" s="278" t="s">
        <v>231</v>
      </c>
      <c r="F35" s="278"/>
      <c r="G35" s="278"/>
      <c r="H35" s="276">
        <f>K10</f>
        <v>0</v>
      </c>
      <c r="I35" s="277"/>
      <c r="L35" s="28"/>
      <c r="M35" s="35"/>
      <c r="N35" s="35"/>
    </row>
    <row r="36" spans="1:14" ht="27" customHeight="1" thickBot="1" x14ac:dyDescent="0.3">
      <c r="A36" s="40">
        <v>1</v>
      </c>
      <c r="B36" s="222" t="s">
        <v>172</v>
      </c>
      <c r="C36" s="222"/>
      <c r="D36" s="222"/>
      <c r="E36" s="222" t="s">
        <v>231</v>
      </c>
      <c r="F36" s="222"/>
      <c r="G36" s="222"/>
      <c r="H36" s="223">
        <f>K11</f>
        <v>0</v>
      </c>
      <c r="I36" s="224"/>
      <c r="L36" s="28"/>
      <c r="M36" s="35"/>
      <c r="N36" s="35"/>
    </row>
    <row r="37" spans="1:14" ht="13.8" thickBot="1" x14ac:dyDescent="0.3">
      <c r="A37" s="77"/>
      <c r="B37" s="77"/>
      <c r="C37" s="266"/>
      <c r="D37" s="266"/>
      <c r="E37" s="76"/>
      <c r="F37" s="150"/>
      <c r="G37" s="150"/>
      <c r="H37" s="266"/>
      <c r="I37" s="266"/>
      <c r="J37" s="69"/>
      <c r="K37" s="69"/>
    </row>
    <row r="38" spans="1:14" ht="15" customHeight="1" x14ac:dyDescent="0.25">
      <c r="A38" s="229"/>
      <c r="B38" s="229"/>
      <c r="C38" s="268" t="s">
        <v>137</v>
      </c>
      <c r="D38" s="269"/>
      <c r="E38" s="272">
        <f>M22+K10+K11+K12</f>
        <v>12120</v>
      </c>
      <c r="F38" s="272"/>
      <c r="G38" s="273"/>
      <c r="H38" s="236"/>
      <c r="I38" s="236"/>
      <c r="M38" s="41"/>
      <c r="N38" s="4"/>
    </row>
    <row r="39" spans="1:14" ht="15.75" customHeight="1" thickBot="1" x14ac:dyDescent="0.3">
      <c r="A39" s="229"/>
      <c r="B39" s="229"/>
      <c r="C39" s="270"/>
      <c r="D39" s="271"/>
      <c r="E39" s="274"/>
      <c r="F39" s="274"/>
      <c r="G39" s="275"/>
      <c r="H39" s="236"/>
      <c r="I39" s="236"/>
      <c r="M39" s="41"/>
      <c r="N39" s="4"/>
    </row>
    <row r="40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M40" s="41"/>
      <c r="N40" s="4"/>
    </row>
    <row r="41" spans="1:14" ht="13.8" x14ac:dyDescent="0.25">
      <c r="A41" s="225" t="s">
        <v>138</v>
      </c>
      <c r="B41" s="225"/>
      <c r="C41" s="225"/>
      <c r="D41" s="225"/>
      <c r="E41" s="225"/>
      <c r="F41" s="225"/>
      <c r="G41" s="225"/>
      <c r="H41" s="225"/>
      <c r="I41" s="225"/>
      <c r="L41" s="28"/>
      <c r="M41" s="35"/>
      <c r="N41" s="35"/>
    </row>
    <row r="42" spans="1:14" ht="13.8" x14ac:dyDescent="0.25">
      <c r="A42" s="225" t="s">
        <v>139</v>
      </c>
      <c r="B42" s="225"/>
      <c r="C42" s="225"/>
      <c r="D42" s="225"/>
      <c r="E42" s="225"/>
      <c r="F42" s="225"/>
      <c r="G42" s="225"/>
      <c r="H42" s="225"/>
      <c r="I42" s="225"/>
      <c r="K42" s="28"/>
      <c r="L42" s="31"/>
      <c r="M42" s="30"/>
    </row>
    <row r="43" spans="1:14" ht="15.75" customHeight="1" x14ac:dyDescent="0.25">
      <c r="A43" s="225" t="s">
        <v>152</v>
      </c>
      <c r="B43" s="225"/>
      <c r="C43" s="225"/>
      <c r="D43" s="225"/>
      <c r="E43" s="225"/>
      <c r="F43" s="225"/>
      <c r="G43" s="225"/>
      <c r="H43" s="225"/>
      <c r="I43" s="225"/>
      <c r="K43" s="28"/>
      <c r="L43" s="31"/>
      <c r="M43" s="31"/>
    </row>
    <row r="44" spans="1:14" ht="4.5" customHeight="1" x14ac:dyDescent="0.25">
      <c r="K44" s="28"/>
      <c r="L44" s="35"/>
      <c r="M44" s="35"/>
    </row>
    <row r="45" spans="1:14" ht="15" customHeight="1" x14ac:dyDescent="0.25"/>
    <row r="46" spans="1:14" ht="13.5" customHeight="1" x14ac:dyDescent="0.25">
      <c r="A46" s="1" t="s">
        <v>140</v>
      </c>
    </row>
    <row r="47" spans="1:14" s="45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4" x14ac:dyDescent="0.25">
      <c r="A48" s="46" t="s">
        <v>141</v>
      </c>
    </row>
    <row r="49" spans="1:9" x14ac:dyDescent="0.25">
      <c r="A49" s="46" t="s">
        <v>142</v>
      </c>
    </row>
    <row r="50" spans="1:9" x14ac:dyDescent="0.25">
      <c r="A50" s="46" t="s">
        <v>143</v>
      </c>
    </row>
    <row r="52" spans="1:9" x14ac:dyDescent="0.25">
      <c r="A52" s="226" t="s">
        <v>144</v>
      </c>
      <c r="B52" s="226"/>
      <c r="C52" s="226"/>
      <c r="D52" s="226"/>
      <c r="E52" s="226"/>
      <c r="F52" s="226"/>
      <c r="G52" s="226"/>
      <c r="H52" s="226"/>
      <c r="I52" s="226"/>
    </row>
    <row r="54" spans="1:9" x14ac:dyDescent="0.25">
      <c r="A54" s="227" t="s">
        <v>145</v>
      </c>
      <c r="B54" s="227"/>
      <c r="C54" s="227"/>
      <c r="D54" s="227"/>
      <c r="E54" s="227"/>
      <c r="F54" s="227"/>
      <c r="G54" s="227"/>
      <c r="H54" s="227"/>
      <c r="I54" s="227"/>
    </row>
    <row r="56" spans="1:9" x14ac:dyDescent="0.25">
      <c r="A56" s="28" t="s">
        <v>146</v>
      </c>
      <c r="B56" s="28"/>
      <c r="C56" s="28"/>
      <c r="D56" s="28"/>
    </row>
    <row r="57" spans="1:9" ht="12.75" customHeight="1" x14ac:dyDescent="0.25">
      <c r="A57" s="47" t="s">
        <v>147</v>
      </c>
      <c r="B57" s="47"/>
      <c r="C57" s="47"/>
      <c r="D57" s="28"/>
    </row>
    <row r="58" spans="1:9" x14ac:dyDescent="0.25">
      <c r="A58" s="28" t="s">
        <v>148</v>
      </c>
      <c r="B58" s="28"/>
      <c r="C58" s="28"/>
      <c r="D58" s="28"/>
    </row>
    <row r="59" spans="1:9" x14ac:dyDescent="0.25">
      <c r="A59" s="48" t="s">
        <v>149</v>
      </c>
      <c r="B59" s="49"/>
      <c r="C59" s="49"/>
      <c r="D59" s="28"/>
    </row>
    <row r="60" spans="1:9" x14ac:dyDescent="0.25">
      <c r="A60" s="28" t="s">
        <v>150</v>
      </c>
      <c r="B60" s="28"/>
      <c r="C60" s="28"/>
      <c r="D60" s="28"/>
    </row>
    <row r="61" spans="1:9" x14ac:dyDescent="0.25">
      <c r="B61" s="28"/>
      <c r="C61" s="28"/>
      <c r="F61" s="228"/>
      <c r="G61" s="228"/>
      <c r="H61" s="228"/>
      <c r="I61" s="228"/>
    </row>
    <row r="63" spans="1:9" x14ac:dyDescent="0.25">
      <c r="A63" s="28"/>
      <c r="B63" s="28"/>
      <c r="C63" s="28"/>
      <c r="D63" s="28"/>
    </row>
    <row r="64" spans="1:9" x14ac:dyDescent="0.25">
      <c r="A64" s="47"/>
      <c r="B64" s="47"/>
      <c r="C64" s="47"/>
      <c r="D64" s="28"/>
    </row>
    <row r="65" spans="1:4" x14ac:dyDescent="0.25">
      <c r="A65" s="28"/>
      <c r="B65" s="28"/>
      <c r="C65" s="28"/>
      <c r="D65" s="28"/>
    </row>
    <row r="66" spans="1:4" x14ac:dyDescent="0.25">
      <c r="A66" s="28"/>
      <c r="B66" s="28"/>
      <c r="C66" s="28"/>
      <c r="D66" s="28"/>
    </row>
    <row r="67" spans="1:4" x14ac:dyDescent="0.25">
      <c r="A67" s="48"/>
      <c r="B67" s="49"/>
      <c r="C67" s="49"/>
      <c r="D67" s="28"/>
    </row>
    <row r="68" spans="1:4" x14ac:dyDescent="0.25">
      <c r="A68" s="28"/>
      <c r="B68" s="28"/>
      <c r="C68" s="28"/>
      <c r="D68" s="28"/>
    </row>
  </sheetData>
  <mergeCells count="61">
    <mergeCell ref="K1:M1"/>
    <mergeCell ref="Q1:AR1"/>
    <mergeCell ref="B3:E5"/>
    <mergeCell ref="K3:K4"/>
    <mergeCell ref="L3:L4"/>
    <mergeCell ref="M3:M4"/>
    <mergeCell ref="A21:I21"/>
    <mergeCell ref="J6:K6"/>
    <mergeCell ref="C9:G9"/>
    <mergeCell ref="A11:I11"/>
    <mergeCell ref="L13:M14"/>
    <mergeCell ref="B16:E16"/>
    <mergeCell ref="F16:G16"/>
    <mergeCell ref="H16:I16"/>
    <mergeCell ref="A17:A18"/>
    <mergeCell ref="B17:E18"/>
    <mergeCell ref="F17:G18"/>
    <mergeCell ref="H17:I18"/>
    <mergeCell ref="A20:I20"/>
    <mergeCell ref="K22:L22"/>
    <mergeCell ref="K23:L23"/>
    <mergeCell ref="B24:D24"/>
    <mergeCell ref="E24:G24"/>
    <mergeCell ref="H24:I24"/>
    <mergeCell ref="K24:L24"/>
    <mergeCell ref="B35:D35"/>
    <mergeCell ref="E35:G35"/>
    <mergeCell ref="B22:D22"/>
    <mergeCell ref="E22:G22"/>
    <mergeCell ref="H22:I22"/>
    <mergeCell ref="C29:D30"/>
    <mergeCell ref="E29:G30"/>
    <mergeCell ref="A32:I32"/>
    <mergeCell ref="A33:I33"/>
    <mergeCell ref="B34:D34"/>
    <mergeCell ref="E34:G34"/>
    <mergeCell ref="H34:I34"/>
    <mergeCell ref="H35:I35"/>
    <mergeCell ref="B23:D23"/>
    <mergeCell ref="E23:G23"/>
    <mergeCell ref="H23:I23"/>
    <mergeCell ref="K25:L25"/>
    <mergeCell ref="E26:G26"/>
    <mergeCell ref="E27:G27"/>
    <mergeCell ref="E28:G28"/>
    <mergeCell ref="H36:I36"/>
    <mergeCell ref="C37:D37"/>
    <mergeCell ref="F37:G37"/>
    <mergeCell ref="H37:I37"/>
    <mergeCell ref="B36:D36"/>
    <mergeCell ref="E36:G36"/>
    <mergeCell ref="A43:I43"/>
    <mergeCell ref="A52:I52"/>
    <mergeCell ref="A54:I54"/>
    <mergeCell ref="F61:I61"/>
    <mergeCell ref="A38:B39"/>
    <mergeCell ref="C38:D39"/>
    <mergeCell ref="E38:G39"/>
    <mergeCell ref="H38:I39"/>
    <mergeCell ref="A41:I41"/>
    <mergeCell ref="A42:I4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r:id="rId1"/>
  <colBreaks count="2" manualBreakCount="2">
    <brk id="9" max="1048575" man="1"/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4AB6-04FD-44FB-803E-AC4868096467}">
  <sheetPr>
    <pageSetUpPr fitToPage="1"/>
  </sheetPr>
  <dimension ref="A1:AR68"/>
  <sheetViews>
    <sheetView showGridLines="0" view="pageBreakPreview" zoomScale="97" zoomScaleSheetLayoutView="100" workbookViewId="0">
      <selection activeCell="F61" sqref="A1:I61"/>
    </sheetView>
  </sheetViews>
  <sheetFormatPr defaultColWidth="11.6640625" defaultRowHeight="13.2" x14ac:dyDescent="0.25"/>
  <cols>
    <col min="1" max="1" width="11.6640625" style="1" customWidth="1"/>
    <col min="2" max="3" width="11.6640625" style="1"/>
    <col min="4" max="4" width="10.88671875" style="1" customWidth="1"/>
    <col min="5" max="5" width="13.6640625" style="1" customWidth="1"/>
    <col min="6" max="6" width="12.109375" style="1" bestFit="1" customWidth="1"/>
    <col min="7" max="7" width="11.6640625" style="1"/>
    <col min="8" max="8" width="12" style="1" customWidth="1"/>
    <col min="9" max="9" width="12.33203125" style="1" customWidth="1"/>
    <col min="10" max="10" width="11.6640625" style="1"/>
    <col min="11" max="11" width="14.44140625" style="1" bestFit="1" customWidth="1"/>
    <col min="12" max="12" width="23.88671875" style="1" customWidth="1"/>
    <col min="13" max="13" width="21.109375" style="1" bestFit="1" customWidth="1"/>
    <col min="14" max="14" width="13.44140625" style="1" bestFit="1" customWidth="1"/>
    <col min="15" max="15" width="11.109375" style="1" customWidth="1"/>
    <col min="16" max="16" width="2.5546875" style="1" customWidth="1"/>
    <col min="17" max="17" width="21" style="1" bestFit="1" customWidth="1"/>
    <col min="18" max="27" width="5.44140625" style="1" bestFit="1" customWidth="1"/>
    <col min="28" max="28" width="6" style="1" bestFit="1" customWidth="1"/>
    <col min="29" max="44" width="5.44140625" style="1" bestFit="1" customWidth="1"/>
    <col min="45" max="16384" width="11.6640625" style="1"/>
  </cols>
  <sheetData>
    <row r="1" spans="1:44" ht="13.8" thickBot="1" x14ac:dyDescent="0.3">
      <c r="J1" s="2"/>
      <c r="K1" s="137" t="s">
        <v>0</v>
      </c>
      <c r="L1" s="138"/>
      <c r="M1" s="139"/>
      <c r="N1" s="3"/>
      <c r="O1" s="4"/>
      <c r="P1" s="4"/>
      <c r="Q1" s="140" t="s">
        <v>1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</row>
    <row r="2" spans="1:44" ht="13.8" thickBot="1" x14ac:dyDescent="0.3">
      <c r="J2" s="2"/>
      <c r="K2" s="5" t="s">
        <v>2</v>
      </c>
      <c r="L2" s="6" t="s">
        <v>3</v>
      </c>
      <c r="M2" s="7" t="s">
        <v>4</v>
      </c>
      <c r="N2" s="4" t="s">
        <v>5</v>
      </c>
      <c r="O2" s="8">
        <f>M5*50%</f>
        <v>176</v>
      </c>
      <c r="P2" s="9"/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0" t="s">
        <v>21</v>
      </c>
      <c r="AG2" s="10" t="s">
        <v>22</v>
      </c>
      <c r="AH2" s="10" t="s">
        <v>23</v>
      </c>
      <c r="AI2" s="10" t="s">
        <v>24</v>
      </c>
      <c r="AJ2" s="10" t="s">
        <v>25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1" t="s">
        <v>31</v>
      </c>
      <c r="AQ2" s="10" t="s">
        <v>32</v>
      </c>
      <c r="AR2" s="10" t="s">
        <v>33</v>
      </c>
    </row>
    <row r="3" spans="1:44" x14ac:dyDescent="0.25">
      <c r="B3" s="182" t="s">
        <v>151</v>
      </c>
      <c r="C3" s="182"/>
      <c r="D3" s="182"/>
      <c r="E3" s="182"/>
      <c r="J3" s="2"/>
      <c r="K3" s="141">
        <v>1</v>
      </c>
      <c r="L3" s="143">
        <v>8.0000000000000004E-4</v>
      </c>
      <c r="M3" s="145">
        <f>F17*L3</f>
        <v>352</v>
      </c>
      <c r="N3" s="4" t="s">
        <v>35</v>
      </c>
      <c r="O3" s="8">
        <f>M5-O2</f>
        <v>176</v>
      </c>
      <c r="P3" s="4"/>
      <c r="Q3" s="12" t="s">
        <v>36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4"/>
      <c r="AQ3" s="13"/>
      <c r="AR3" s="13"/>
    </row>
    <row r="4" spans="1:44" ht="15.75" customHeight="1" thickBot="1" x14ac:dyDescent="0.3">
      <c r="B4" s="182"/>
      <c r="C4" s="182"/>
      <c r="D4" s="182"/>
      <c r="E4" s="182"/>
      <c r="J4" s="2"/>
      <c r="K4" s="142"/>
      <c r="L4" s="144"/>
      <c r="M4" s="146"/>
      <c r="N4" s="4" t="s">
        <v>37</v>
      </c>
      <c r="O4" s="8">
        <f>O3*7.38%</f>
        <v>12.988800000000001</v>
      </c>
      <c r="P4" s="4"/>
      <c r="Q4" s="12" t="s">
        <v>38</v>
      </c>
      <c r="R4" s="13" t="s">
        <v>39</v>
      </c>
      <c r="S4" s="13" t="s">
        <v>40</v>
      </c>
      <c r="T4" s="13" t="s">
        <v>41</v>
      </c>
      <c r="U4" s="13" t="s">
        <v>42</v>
      </c>
      <c r="V4" s="13" t="s">
        <v>40</v>
      </c>
      <c r="W4" s="13" t="s">
        <v>43</v>
      </c>
      <c r="X4" s="13" t="s">
        <v>44</v>
      </c>
      <c r="Y4" s="13" t="s">
        <v>41</v>
      </c>
      <c r="Z4" s="13" t="s">
        <v>44</v>
      </c>
      <c r="AA4" s="13" t="s">
        <v>43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40</v>
      </c>
      <c r="AG4" s="13" t="s">
        <v>48</v>
      </c>
      <c r="AH4" s="13" t="s">
        <v>40</v>
      </c>
      <c r="AI4" s="13" t="s">
        <v>41</v>
      </c>
      <c r="AJ4" s="13" t="s">
        <v>41</v>
      </c>
      <c r="AK4" s="13" t="s">
        <v>40</v>
      </c>
      <c r="AL4" s="13" t="s">
        <v>43</v>
      </c>
      <c r="AM4" s="13" t="s">
        <v>49</v>
      </c>
      <c r="AN4" s="13" t="s">
        <v>50</v>
      </c>
      <c r="AO4" s="13" t="s">
        <v>41</v>
      </c>
      <c r="AP4" s="14" t="s">
        <v>48</v>
      </c>
      <c r="AQ4" s="13" t="s">
        <v>40</v>
      </c>
      <c r="AR4" s="13" t="s">
        <v>51</v>
      </c>
    </row>
    <row r="5" spans="1:44" ht="13.8" thickBot="1" x14ac:dyDescent="0.3">
      <c r="B5" s="182"/>
      <c r="C5" s="182"/>
      <c r="D5" s="182"/>
      <c r="E5" s="182"/>
      <c r="J5" s="2"/>
      <c r="K5" s="2"/>
      <c r="L5" s="15"/>
      <c r="M5" s="16">
        <f>SUM(M3:M4)</f>
        <v>352</v>
      </c>
      <c r="N5" s="4" t="s">
        <v>52</v>
      </c>
      <c r="O5" s="8">
        <f>O3+O4</f>
        <v>188.9888</v>
      </c>
      <c r="P5" s="4"/>
      <c r="Q5" s="12" t="s">
        <v>53</v>
      </c>
      <c r="R5" s="13" t="s">
        <v>40</v>
      </c>
      <c r="S5" s="13" t="s">
        <v>39</v>
      </c>
      <c r="T5" s="13" t="s">
        <v>46</v>
      </c>
      <c r="U5" s="13" t="s">
        <v>40</v>
      </c>
      <c r="V5" s="13" t="s">
        <v>54</v>
      </c>
      <c r="W5" s="13" t="s">
        <v>55</v>
      </c>
      <c r="X5" s="13" t="s">
        <v>50</v>
      </c>
      <c r="Y5" s="13" t="s">
        <v>56</v>
      </c>
      <c r="Z5" s="13" t="s">
        <v>50</v>
      </c>
      <c r="AA5" s="13" t="s">
        <v>57</v>
      </c>
      <c r="AB5" s="13" t="s">
        <v>58</v>
      </c>
      <c r="AC5" s="13" t="s">
        <v>47</v>
      </c>
      <c r="AD5" s="13" t="s">
        <v>56</v>
      </c>
      <c r="AE5" s="13" t="s">
        <v>50</v>
      </c>
      <c r="AF5" s="13" t="s">
        <v>49</v>
      </c>
      <c r="AG5" s="13" t="s">
        <v>44</v>
      </c>
      <c r="AH5" s="13" t="s">
        <v>49</v>
      </c>
      <c r="AI5" s="13" t="s">
        <v>59</v>
      </c>
      <c r="AJ5" s="13" t="s">
        <v>50</v>
      </c>
      <c r="AK5" s="13" t="s">
        <v>49</v>
      </c>
      <c r="AL5" s="13" t="s">
        <v>47</v>
      </c>
      <c r="AM5" s="13" t="s">
        <v>41</v>
      </c>
      <c r="AN5" s="13" t="s">
        <v>60</v>
      </c>
      <c r="AO5" s="13" t="s">
        <v>58</v>
      </c>
      <c r="AP5" s="14" t="s">
        <v>46</v>
      </c>
      <c r="AQ5" s="13" t="s">
        <v>49</v>
      </c>
      <c r="AR5" s="13" t="s">
        <v>45</v>
      </c>
    </row>
    <row r="6" spans="1:44" ht="13.8" thickBot="1" x14ac:dyDescent="0.3">
      <c r="J6" s="294" t="s">
        <v>61</v>
      </c>
      <c r="K6" s="295"/>
      <c r="L6" s="17"/>
      <c r="M6" s="18"/>
      <c r="N6" s="3"/>
      <c r="O6" s="19" t="s">
        <v>62</v>
      </c>
      <c r="P6" s="4"/>
      <c r="Q6" s="12" t="s">
        <v>63</v>
      </c>
      <c r="R6" s="13" t="s">
        <v>41</v>
      </c>
      <c r="S6" s="13" t="s">
        <v>46</v>
      </c>
      <c r="T6" s="13" t="s">
        <v>59</v>
      </c>
      <c r="U6" s="13" t="s">
        <v>41</v>
      </c>
      <c r="V6" s="13" t="s">
        <v>46</v>
      </c>
      <c r="W6" s="13" t="s">
        <v>56</v>
      </c>
      <c r="X6" s="13" t="s">
        <v>50</v>
      </c>
      <c r="Y6" s="13" t="s">
        <v>47</v>
      </c>
      <c r="Z6" s="13" t="s">
        <v>50</v>
      </c>
      <c r="AA6" s="13" t="s">
        <v>42</v>
      </c>
      <c r="AB6" s="13" t="s">
        <v>58</v>
      </c>
      <c r="AC6" s="13" t="s">
        <v>41</v>
      </c>
      <c r="AD6" s="13" t="s">
        <v>58</v>
      </c>
      <c r="AE6" s="13" t="s">
        <v>42</v>
      </c>
      <c r="AF6" s="13" t="s">
        <v>46</v>
      </c>
      <c r="AG6" s="13" t="s">
        <v>47</v>
      </c>
      <c r="AH6" s="13" t="s">
        <v>46</v>
      </c>
      <c r="AI6" s="13" t="s">
        <v>42</v>
      </c>
      <c r="AJ6" s="13" t="s">
        <v>47</v>
      </c>
      <c r="AK6" s="13" t="s">
        <v>46</v>
      </c>
      <c r="AL6" s="13" t="s">
        <v>43</v>
      </c>
      <c r="AM6" s="13" t="s">
        <v>47</v>
      </c>
      <c r="AN6" s="13" t="s">
        <v>40</v>
      </c>
      <c r="AO6" s="13" t="s">
        <v>48</v>
      </c>
      <c r="AP6" s="14" t="s">
        <v>58</v>
      </c>
      <c r="AQ6" s="13" t="s">
        <v>46</v>
      </c>
      <c r="AR6" s="13" t="s">
        <v>64</v>
      </c>
    </row>
    <row r="7" spans="1:44" x14ac:dyDescent="0.25">
      <c r="J7" s="51" t="s">
        <v>65</v>
      </c>
      <c r="K7" s="52">
        <v>1000</v>
      </c>
      <c r="L7" s="20"/>
      <c r="M7" s="18"/>
      <c r="N7" s="3"/>
      <c r="O7" s="4"/>
      <c r="P7" s="4"/>
      <c r="Q7" s="12" t="s">
        <v>66</v>
      </c>
      <c r="R7" s="13" t="s">
        <v>42</v>
      </c>
      <c r="S7" s="13" t="s">
        <v>40</v>
      </c>
      <c r="T7" s="13" t="s">
        <v>41</v>
      </c>
      <c r="U7" s="13" t="s">
        <v>59</v>
      </c>
      <c r="V7" s="13" t="s">
        <v>40</v>
      </c>
      <c r="W7" s="13" t="s">
        <v>43</v>
      </c>
      <c r="X7" s="13" t="s">
        <v>58</v>
      </c>
      <c r="Y7" s="13" t="s">
        <v>43</v>
      </c>
      <c r="Z7" s="13" t="s">
        <v>58</v>
      </c>
      <c r="AA7" s="13" t="s">
        <v>43</v>
      </c>
      <c r="AB7" s="13" t="s">
        <v>44</v>
      </c>
      <c r="AC7" s="13" t="s">
        <v>58</v>
      </c>
      <c r="AD7" s="13" t="s">
        <v>48</v>
      </c>
      <c r="AE7" s="13" t="s">
        <v>48</v>
      </c>
      <c r="AF7" s="13" t="s">
        <v>40</v>
      </c>
      <c r="AG7" s="13" t="s">
        <v>41</v>
      </c>
      <c r="AH7" s="13" t="s">
        <v>40</v>
      </c>
      <c r="AI7" s="13" t="s">
        <v>48</v>
      </c>
      <c r="AJ7" s="13" t="s">
        <v>43</v>
      </c>
      <c r="AK7" s="13" t="s">
        <v>40</v>
      </c>
      <c r="AL7" s="13" t="s">
        <v>40</v>
      </c>
      <c r="AM7" s="13" t="s">
        <v>42</v>
      </c>
      <c r="AN7" s="13" t="s">
        <v>42</v>
      </c>
      <c r="AO7" s="13" t="s">
        <v>43</v>
      </c>
      <c r="AP7" s="14" t="s">
        <v>41</v>
      </c>
      <c r="AQ7" s="13" t="s">
        <v>60</v>
      </c>
      <c r="AR7" s="13" t="s">
        <v>58</v>
      </c>
    </row>
    <row r="8" spans="1:44" x14ac:dyDescent="0.25">
      <c r="J8" s="53" t="s">
        <v>67</v>
      </c>
      <c r="K8" s="54">
        <v>0</v>
      </c>
      <c r="L8" s="20"/>
      <c r="M8" s="21" t="s">
        <v>68</v>
      </c>
      <c r="N8" s="3"/>
      <c r="O8" s="22"/>
      <c r="P8" s="4"/>
      <c r="Q8" s="12" t="s">
        <v>69</v>
      </c>
      <c r="R8" s="13" t="s">
        <v>40</v>
      </c>
      <c r="S8" s="13" t="s">
        <v>54</v>
      </c>
      <c r="T8" s="13" t="s">
        <v>46</v>
      </c>
      <c r="U8" s="13" t="s">
        <v>40</v>
      </c>
      <c r="V8" s="13" t="s">
        <v>49</v>
      </c>
      <c r="W8" s="13" t="s">
        <v>59</v>
      </c>
      <c r="X8" s="13" t="s">
        <v>50</v>
      </c>
      <c r="Y8" s="13" t="s">
        <v>59</v>
      </c>
      <c r="Z8" s="13" t="s">
        <v>50</v>
      </c>
      <c r="AA8" s="13" t="s">
        <v>57</v>
      </c>
      <c r="AB8" s="13" t="s">
        <v>46</v>
      </c>
      <c r="AC8" s="13" t="s">
        <v>44</v>
      </c>
      <c r="AD8" s="13" t="s">
        <v>42</v>
      </c>
      <c r="AE8" s="13" t="s">
        <v>45</v>
      </c>
      <c r="AF8" s="13" t="s">
        <v>55</v>
      </c>
      <c r="AG8" s="13" t="s">
        <v>50</v>
      </c>
      <c r="AH8" s="13" t="s">
        <v>54</v>
      </c>
      <c r="AI8" s="13" t="s">
        <v>59</v>
      </c>
      <c r="AJ8" s="13" t="s">
        <v>57</v>
      </c>
      <c r="AK8" s="13" t="s">
        <v>59</v>
      </c>
      <c r="AL8" s="13" t="s">
        <v>44</v>
      </c>
      <c r="AM8" s="13" t="s">
        <v>41</v>
      </c>
      <c r="AN8" s="13" t="s">
        <v>60</v>
      </c>
      <c r="AO8" s="13" t="s">
        <v>46</v>
      </c>
      <c r="AP8" s="14" t="s">
        <v>45</v>
      </c>
      <c r="AQ8" s="13" t="s">
        <v>54</v>
      </c>
      <c r="AR8" s="13" t="s">
        <v>56</v>
      </c>
    </row>
    <row r="9" spans="1:44" x14ac:dyDescent="0.25">
      <c r="A9" s="1" t="s">
        <v>70</v>
      </c>
      <c r="C9" s="154">
        <f ca="1">TODAY()</f>
        <v>46213</v>
      </c>
      <c r="D9" s="154"/>
      <c r="E9" s="154"/>
      <c r="F9" s="154"/>
      <c r="G9" s="154"/>
      <c r="J9" s="53" t="s">
        <v>71</v>
      </c>
      <c r="K9" s="55">
        <v>0</v>
      </c>
      <c r="L9" s="23"/>
      <c r="M9" s="23">
        <f>SUM(K7:K12)</f>
        <v>2352</v>
      </c>
      <c r="N9" s="24"/>
      <c r="O9" s="4"/>
      <c r="P9" s="4"/>
      <c r="Q9" s="12" t="s">
        <v>72</v>
      </c>
      <c r="R9" s="13" t="s">
        <v>43</v>
      </c>
      <c r="S9" s="13" t="s">
        <v>55</v>
      </c>
      <c r="T9" s="13" t="s">
        <v>56</v>
      </c>
      <c r="U9" s="13" t="s">
        <v>43</v>
      </c>
      <c r="V9" s="13" t="s">
        <v>59</v>
      </c>
      <c r="W9" s="13" t="s">
        <v>39</v>
      </c>
      <c r="X9" s="13" t="s">
        <v>44</v>
      </c>
      <c r="Y9" s="13" t="s">
        <v>50</v>
      </c>
      <c r="Z9" s="13" t="s">
        <v>44</v>
      </c>
      <c r="AA9" s="13" t="s">
        <v>55</v>
      </c>
      <c r="AB9" s="13" t="s">
        <v>48</v>
      </c>
      <c r="AC9" s="13" t="s">
        <v>48</v>
      </c>
      <c r="AD9" s="13" t="s">
        <v>46</v>
      </c>
      <c r="AE9" s="13" t="s">
        <v>57</v>
      </c>
      <c r="AF9" s="13" t="s">
        <v>49</v>
      </c>
      <c r="AG9" s="13" t="s">
        <v>47</v>
      </c>
      <c r="AH9" s="13" t="s">
        <v>54</v>
      </c>
      <c r="AI9" s="13" t="s">
        <v>55</v>
      </c>
      <c r="AJ9" s="13" t="s">
        <v>44</v>
      </c>
      <c r="AK9" s="13" t="s">
        <v>49</v>
      </c>
      <c r="AL9" s="13" t="s">
        <v>41</v>
      </c>
      <c r="AM9" s="13" t="s">
        <v>41</v>
      </c>
      <c r="AN9" s="13" t="s">
        <v>60</v>
      </c>
      <c r="AO9" s="13" t="s">
        <v>48</v>
      </c>
      <c r="AP9" s="14" t="s">
        <v>58</v>
      </c>
      <c r="AQ9" s="13" t="s">
        <v>59</v>
      </c>
      <c r="AR9" s="13" t="s">
        <v>64</v>
      </c>
    </row>
    <row r="10" spans="1:44" x14ac:dyDescent="0.25">
      <c r="J10" s="53" t="s">
        <v>73</v>
      </c>
      <c r="K10" s="55">
        <v>500</v>
      </c>
      <c r="L10" s="25"/>
      <c r="M10" s="23"/>
      <c r="N10" s="26"/>
      <c r="O10" s="4"/>
      <c r="P10" s="4"/>
      <c r="Q10" s="12" t="s">
        <v>74</v>
      </c>
      <c r="R10" s="13" t="s">
        <v>44</v>
      </c>
      <c r="S10" s="13" t="s">
        <v>50</v>
      </c>
      <c r="T10" s="13" t="s">
        <v>50</v>
      </c>
      <c r="U10" s="13" t="s">
        <v>58</v>
      </c>
      <c r="V10" s="13" t="s">
        <v>50</v>
      </c>
      <c r="W10" s="13" t="s">
        <v>44</v>
      </c>
      <c r="X10" s="13" t="s">
        <v>75</v>
      </c>
      <c r="Y10" s="13" t="s">
        <v>42</v>
      </c>
      <c r="Z10" s="13" t="s">
        <v>49</v>
      </c>
      <c r="AA10" s="13" t="s">
        <v>46</v>
      </c>
      <c r="AB10" s="13" t="s">
        <v>55</v>
      </c>
      <c r="AC10" s="13" t="s">
        <v>59</v>
      </c>
      <c r="AD10" s="13" t="s">
        <v>54</v>
      </c>
      <c r="AE10" s="13" t="s">
        <v>45</v>
      </c>
      <c r="AF10" s="13" t="s">
        <v>46</v>
      </c>
      <c r="AG10" s="13" t="s">
        <v>42</v>
      </c>
      <c r="AH10" s="13" t="s">
        <v>46</v>
      </c>
      <c r="AI10" s="13" t="s">
        <v>44</v>
      </c>
      <c r="AJ10" s="13" t="s">
        <v>42</v>
      </c>
      <c r="AK10" s="13" t="s">
        <v>44</v>
      </c>
      <c r="AL10" s="13" t="s">
        <v>56</v>
      </c>
      <c r="AM10" s="13" t="s">
        <v>50</v>
      </c>
      <c r="AN10" s="13" t="s">
        <v>41</v>
      </c>
      <c r="AO10" s="13" t="s">
        <v>42</v>
      </c>
      <c r="AP10" s="14" t="s">
        <v>54</v>
      </c>
      <c r="AQ10" s="13" t="s">
        <v>45</v>
      </c>
      <c r="AR10" s="13" t="s">
        <v>55</v>
      </c>
    </row>
    <row r="11" spans="1:44" x14ac:dyDescent="0.25">
      <c r="A11" s="155" t="s">
        <v>154</v>
      </c>
      <c r="B11" s="155"/>
      <c r="C11" s="155"/>
      <c r="D11" s="155"/>
      <c r="E11" s="155"/>
      <c r="F11" s="155"/>
      <c r="G11" s="155"/>
      <c r="H11" s="155"/>
      <c r="I11" s="155"/>
      <c r="J11" s="53" t="s">
        <v>76</v>
      </c>
      <c r="K11" s="56">
        <v>500</v>
      </c>
      <c r="L11" s="25"/>
      <c r="M11" s="2"/>
      <c r="O11" s="4"/>
      <c r="P11" s="4"/>
      <c r="Q11" s="12" t="s">
        <v>77</v>
      </c>
      <c r="R11" s="13" t="s">
        <v>41</v>
      </c>
      <c r="S11" s="13" t="s">
        <v>56</v>
      </c>
      <c r="T11" s="13" t="s">
        <v>47</v>
      </c>
      <c r="U11" s="13" t="s">
        <v>43</v>
      </c>
      <c r="V11" s="13" t="s">
        <v>59</v>
      </c>
      <c r="W11" s="13" t="s">
        <v>50</v>
      </c>
      <c r="X11" s="13" t="s">
        <v>42</v>
      </c>
      <c r="Y11" s="13" t="s">
        <v>75</v>
      </c>
      <c r="Z11" s="13" t="s">
        <v>42</v>
      </c>
      <c r="AA11" s="13" t="s">
        <v>46</v>
      </c>
      <c r="AB11" s="13" t="s">
        <v>50</v>
      </c>
      <c r="AC11" s="13" t="s">
        <v>45</v>
      </c>
      <c r="AD11" s="13" t="s">
        <v>49</v>
      </c>
      <c r="AE11" s="13" t="s">
        <v>58</v>
      </c>
      <c r="AF11" s="13" t="s">
        <v>45</v>
      </c>
      <c r="AG11" s="13" t="s">
        <v>42</v>
      </c>
      <c r="AH11" s="13" t="s">
        <v>45</v>
      </c>
      <c r="AI11" s="13" t="s">
        <v>50</v>
      </c>
      <c r="AJ11" s="13" t="s">
        <v>39</v>
      </c>
      <c r="AK11" s="13" t="s">
        <v>50</v>
      </c>
      <c r="AL11" s="13" t="s">
        <v>45</v>
      </c>
      <c r="AM11" s="13" t="s">
        <v>47</v>
      </c>
      <c r="AN11" s="13" t="s">
        <v>60</v>
      </c>
      <c r="AO11" s="13" t="s">
        <v>57</v>
      </c>
      <c r="AP11" s="14" t="s">
        <v>55</v>
      </c>
      <c r="AQ11" s="13" t="s">
        <v>42</v>
      </c>
      <c r="AR11" s="13" t="s">
        <v>50</v>
      </c>
    </row>
    <row r="12" spans="1:44" ht="13.8" thickBot="1" x14ac:dyDescent="0.3">
      <c r="A12" s="27" t="s">
        <v>78</v>
      </c>
      <c r="B12" s="28"/>
      <c r="J12" s="59" t="s">
        <v>79</v>
      </c>
      <c r="K12" s="70">
        <f>M3</f>
        <v>352</v>
      </c>
      <c r="L12" s="2"/>
      <c r="M12" s="29"/>
      <c r="N12" s="4"/>
      <c r="O12" s="4"/>
      <c r="P12" s="4"/>
      <c r="Q12" s="12" t="s">
        <v>80</v>
      </c>
      <c r="R12" s="13" t="s">
        <v>44</v>
      </c>
      <c r="S12" s="13" t="s">
        <v>50</v>
      </c>
      <c r="T12" s="13" t="s">
        <v>50</v>
      </c>
      <c r="U12" s="13" t="s">
        <v>58</v>
      </c>
      <c r="V12" s="13" t="s">
        <v>50</v>
      </c>
      <c r="W12" s="13" t="s">
        <v>44</v>
      </c>
      <c r="X12" s="13" t="s">
        <v>49</v>
      </c>
      <c r="Y12" s="13" t="s">
        <v>42</v>
      </c>
      <c r="Z12" s="13" t="s">
        <v>49</v>
      </c>
      <c r="AA12" s="13" t="s">
        <v>46</v>
      </c>
      <c r="AB12" s="13" t="s">
        <v>55</v>
      </c>
      <c r="AC12" s="13" t="s">
        <v>59</v>
      </c>
      <c r="AD12" s="13" t="s">
        <v>54</v>
      </c>
      <c r="AE12" s="13" t="s">
        <v>45</v>
      </c>
      <c r="AF12" s="13" t="s">
        <v>46</v>
      </c>
      <c r="AG12" s="13" t="s">
        <v>42</v>
      </c>
      <c r="AH12" s="13" t="s">
        <v>46</v>
      </c>
      <c r="AI12" s="13" t="s">
        <v>44</v>
      </c>
      <c r="AJ12" s="13" t="s">
        <v>42</v>
      </c>
      <c r="AK12" s="13" t="s">
        <v>44</v>
      </c>
      <c r="AL12" s="13" t="s">
        <v>56</v>
      </c>
      <c r="AM12" s="13" t="s">
        <v>50</v>
      </c>
      <c r="AN12" s="13" t="s">
        <v>41</v>
      </c>
      <c r="AO12" s="13" t="s">
        <v>42</v>
      </c>
      <c r="AP12" s="14" t="s">
        <v>54</v>
      </c>
      <c r="AQ12" s="13" t="s">
        <v>45</v>
      </c>
      <c r="AR12" s="13" t="s">
        <v>59</v>
      </c>
    </row>
    <row r="13" spans="1:44" ht="15" customHeight="1" x14ac:dyDescent="0.25">
      <c r="J13" s="51" t="s">
        <v>82</v>
      </c>
      <c r="K13" s="73">
        <f>M22*0.12</f>
        <v>216</v>
      </c>
      <c r="L13" s="157"/>
      <c r="M13" s="158"/>
      <c r="N13" s="26"/>
      <c r="O13" s="4"/>
      <c r="P13" s="4"/>
      <c r="Q13" s="12" t="s">
        <v>83</v>
      </c>
      <c r="R13" s="13" t="s">
        <v>43</v>
      </c>
      <c r="S13" s="13" t="s">
        <v>57</v>
      </c>
      <c r="T13" s="13" t="s">
        <v>42</v>
      </c>
      <c r="U13" s="13" t="s">
        <v>43</v>
      </c>
      <c r="V13" s="13" t="s">
        <v>57</v>
      </c>
      <c r="W13" s="13" t="s">
        <v>55</v>
      </c>
      <c r="X13" s="13" t="s">
        <v>46</v>
      </c>
      <c r="Y13" s="13" t="s">
        <v>46</v>
      </c>
      <c r="Z13" s="13" t="s">
        <v>46</v>
      </c>
      <c r="AA13" s="13" t="s">
        <v>54</v>
      </c>
      <c r="AB13" s="13" t="s">
        <v>58</v>
      </c>
      <c r="AC13" s="13" t="s">
        <v>48</v>
      </c>
      <c r="AD13" s="13" t="s">
        <v>46</v>
      </c>
      <c r="AE13" s="13" t="s">
        <v>42</v>
      </c>
      <c r="AF13" s="13" t="s">
        <v>56</v>
      </c>
      <c r="AG13" s="13" t="s">
        <v>48</v>
      </c>
      <c r="AH13" s="13" t="s">
        <v>57</v>
      </c>
      <c r="AI13" s="13" t="s">
        <v>55</v>
      </c>
      <c r="AJ13" s="13" t="s">
        <v>58</v>
      </c>
      <c r="AK13" s="13" t="s">
        <v>57</v>
      </c>
      <c r="AL13" s="13" t="s">
        <v>43</v>
      </c>
      <c r="AM13" s="13" t="s">
        <v>48</v>
      </c>
      <c r="AN13" s="13" t="s">
        <v>60</v>
      </c>
      <c r="AO13" s="13" t="s">
        <v>41</v>
      </c>
      <c r="AP13" s="14" t="s">
        <v>58</v>
      </c>
      <c r="AQ13" s="13" t="s">
        <v>56</v>
      </c>
      <c r="AR13" s="13" t="s">
        <v>56</v>
      </c>
    </row>
    <row r="14" spans="1:44" ht="15" customHeight="1" thickBot="1" x14ac:dyDescent="0.3">
      <c r="A14" s="1" t="s">
        <v>84</v>
      </c>
      <c r="J14" s="57" t="s">
        <v>85</v>
      </c>
      <c r="K14" s="58">
        <f>(M22+K10+K11)*0.12</f>
        <v>336</v>
      </c>
      <c r="L14" s="159"/>
      <c r="M14" s="160"/>
      <c r="N14" s="30"/>
      <c r="O14" s="4"/>
      <c r="P14" s="4"/>
      <c r="Q14" s="12" t="s">
        <v>86</v>
      </c>
      <c r="R14" s="13" t="s">
        <v>45</v>
      </c>
      <c r="S14" s="13" t="s">
        <v>58</v>
      </c>
      <c r="T14" s="13" t="s">
        <v>58</v>
      </c>
      <c r="U14" s="13" t="s">
        <v>44</v>
      </c>
      <c r="V14" s="13" t="s">
        <v>46</v>
      </c>
      <c r="W14" s="13" t="s">
        <v>48</v>
      </c>
      <c r="X14" s="13" t="s">
        <v>55</v>
      </c>
      <c r="Y14" s="13" t="s">
        <v>50</v>
      </c>
      <c r="Z14" s="13" t="s">
        <v>55</v>
      </c>
      <c r="AA14" s="13" t="s">
        <v>58</v>
      </c>
      <c r="AB14" s="13" t="s">
        <v>54</v>
      </c>
      <c r="AC14" s="13" t="s">
        <v>55</v>
      </c>
      <c r="AD14" s="13" t="s">
        <v>57</v>
      </c>
      <c r="AE14" s="13" t="s">
        <v>50</v>
      </c>
      <c r="AF14" s="13" t="s">
        <v>47</v>
      </c>
      <c r="AG14" s="13" t="s">
        <v>56</v>
      </c>
      <c r="AH14" s="13" t="s">
        <v>47</v>
      </c>
      <c r="AI14" s="13" t="s">
        <v>44</v>
      </c>
      <c r="AJ14" s="13" t="s">
        <v>50</v>
      </c>
      <c r="AK14" s="13" t="s">
        <v>48</v>
      </c>
      <c r="AL14" s="13" t="s">
        <v>46</v>
      </c>
      <c r="AM14" s="13" t="s">
        <v>42</v>
      </c>
      <c r="AN14" s="13" t="s">
        <v>48</v>
      </c>
      <c r="AO14" s="13" t="s">
        <v>45</v>
      </c>
      <c r="AP14" s="14" t="s">
        <v>56</v>
      </c>
      <c r="AQ14" s="13" t="s">
        <v>44</v>
      </c>
      <c r="AR14" s="13" t="s">
        <v>57</v>
      </c>
    </row>
    <row r="15" spans="1:44" ht="13.5" customHeight="1" thickBot="1" x14ac:dyDescent="0.3">
      <c r="J15" s="71"/>
      <c r="K15" s="72"/>
      <c r="L15" s="68"/>
      <c r="M15" s="31"/>
      <c r="N15" s="31"/>
      <c r="O15" s="4"/>
      <c r="P15" s="4"/>
      <c r="Q15" s="12" t="s">
        <v>87</v>
      </c>
      <c r="R15" s="13" t="s">
        <v>46</v>
      </c>
      <c r="S15" s="13" t="s">
        <v>47</v>
      </c>
      <c r="T15" s="13" t="s">
        <v>41</v>
      </c>
      <c r="U15" s="13" t="s">
        <v>58</v>
      </c>
      <c r="V15" s="13" t="s">
        <v>44</v>
      </c>
      <c r="W15" s="13" t="s">
        <v>48</v>
      </c>
      <c r="X15" s="13" t="s">
        <v>59</v>
      </c>
      <c r="Y15" s="13" t="s">
        <v>45</v>
      </c>
      <c r="Z15" s="13" t="s">
        <v>59</v>
      </c>
      <c r="AA15" s="13" t="s">
        <v>48</v>
      </c>
      <c r="AB15" s="13" t="s">
        <v>55</v>
      </c>
      <c r="AC15" s="13" t="s">
        <v>49</v>
      </c>
      <c r="AD15" s="13" t="s">
        <v>42</v>
      </c>
      <c r="AE15" s="13" t="s">
        <v>44</v>
      </c>
      <c r="AF15" s="13" t="s">
        <v>48</v>
      </c>
      <c r="AG15" s="13" t="s">
        <v>55</v>
      </c>
      <c r="AH15" s="13" t="s">
        <v>48</v>
      </c>
      <c r="AI15" s="13" t="s">
        <v>58</v>
      </c>
      <c r="AJ15" s="13" t="s">
        <v>42</v>
      </c>
      <c r="AK15" s="13" t="s">
        <v>41</v>
      </c>
      <c r="AL15" s="13" t="s">
        <v>56</v>
      </c>
      <c r="AM15" s="13" t="s">
        <v>50</v>
      </c>
      <c r="AN15" s="13" t="s">
        <v>41</v>
      </c>
      <c r="AO15" s="13" t="s">
        <v>42</v>
      </c>
      <c r="AP15" s="14" t="s">
        <v>55</v>
      </c>
      <c r="AQ15" s="13" t="s">
        <v>58</v>
      </c>
      <c r="AR15" s="13" t="s">
        <v>50</v>
      </c>
    </row>
    <row r="16" spans="1:44" ht="15" customHeight="1" thickBot="1" x14ac:dyDescent="0.3">
      <c r="A16" s="32" t="s">
        <v>2</v>
      </c>
      <c r="B16" s="218" t="s">
        <v>88</v>
      </c>
      <c r="C16" s="219"/>
      <c r="D16" s="219"/>
      <c r="E16" s="219"/>
      <c r="F16" s="219" t="s">
        <v>89</v>
      </c>
      <c r="G16" s="220"/>
      <c r="H16" s="218" t="s">
        <v>90</v>
      </c>
      <c r="I16" s="221"/>
      <c r="J16" s="60"/>
      <c r="K16" s="61"/>
      <c r="L16" s="62"/>
      <c r="M16" s="33"/>
      <c r="N16" s="34"/>
      <c r="O16" s="4"/>
      <c r="P16" s="4"/>
      <c r="Q16" s="12" t="s">
        <v>91</v>
      </c>
      <c r="R16" s="13" t="s">
        <v>47</v>
      </c>
      <c r="S16" s="13" t="s">
        <v>56</v>
      </c>
      <c r="T16" s="13" t="s">
        <v>58</v>
      </c>
      <c r="U16" s="13" t="s">
        <v>48</v>
      </c>
      <c r="V16" s="13" t="s">
        <v>42</v>
      </c>
      <c r="W16" s="13" t="s">
        <v>46</v>
      </c>
      <c r="X16" s="13" t="s">
        <v>54</v>
      </c>
      <c r="Y16" s="13" t="s">
        <v>49</v>
      </c>
      <c r="Z16" s="13" t="s">
        <v>54</v>
      </c>
      <c r="AA16" s="13" t="s">
        <v>46</v>
      </c>
      <c r="AB16" s="13" t="s">
        <v>92</v>
      </c>
      <c r="AC16" s="13" t="s">
        <v>42</v>
      </c>
      <c r="AD16" s="13" t="s">
        <v>39</v>
      </c>
      <c r="AE16" s="13" t="s">
        <v>44</v>
      </c>
      <c r="AF16" s="13" t="s">
        <v>50</v>
      </c>
      <c r="AG16" s="13" t="s">
        <v>55</v>
      </c>
      <c r="AH16" s="13" t="s">
        <v>50</v>
      </c>
      <c r="AI16" s="13" t="s">
        <v>50</v>
      </c>
      <c r="AJ16" s="13" t="s">
        <v>49</v>
      </c>
      <c r="AK16" s="13" t="s">
        <v>50</v>
      </c>
      <c r="AL16" s="13" t="s">
        <v>57</v>
      </c>
      <c r="AM16" s="13" t="s">
        <v>58</v>
      </c>
      <c r="AN16" s="13" t="s">
        <v>40</v>
      </c>
      <c r="AO16" s="13" t="s">
        <v>59</v>
      </c>
      <c r="AP16" s="14" t="s">
        <v>49</v>
      </c>
      <c r="AQ16" s="13" t="s">
        <v>57</v>
      </c>
      <c r="AR16" s="13" t="s">
        <v>64</v>
      </c>
    </row>
    <row r="17" spans="1:44" ht="24.6" customHeight="1" x14ac:dyDescent="0.25">
      <c r="A17" s="165">
        <v>1</v>
      </c>
      <c r="B17" s="185" t="s">
        <v>166</v>
      </c>
      <c r="C17" s="186"/>
      <c r="D17" s="186"/>
      <c r="E17" s="187"/>
      <c r="F17" s="173">
        <v>440000</v>
      </c>
      <c r="G17" s="174"/>
      <c r="H17" s="177" t="s">
        <v>93</v>
      </c>
      <c r="I17" s="178"/>
      <c r="J17" s="60"/>
      <c r="K17" s="42"/>
      <c r="L17" s="34"/>
      <c r="M17" s="31"/>
      <c r="N17" s="3"/>
      <c r="O17" s="4"/>
      <c r="P17" s="4"/>
      <c r="Q17" s="12" t="s">
        <v>94</v>
      </c>
      <c r="R17" s="13" t="s">
        <v>48</v>
      </c>
      <c r="S17" s="13" t="s">
        <v>50</v>
      </c>
      <c r="T17" s="13" t="s">
        <v>42</v>
      </c>
      <c r="U17" s="13" t="s">
        <v>48</v>
      </c>
      <c r="V17" s="13" t="s">
        <v>45</v>
      </c>
      <c r="W17" s="13" t="s">
        <v>57</v>
      </c>
      <c r="X17" s="13" t="s">
        <v>45</v>
      </c>
      <c r="Y17" s="13" t="s">
        <v>58</v>
      </c>
      <c r="Z17" s="13" t="s">
        <v>45</v>
      </c>
      <c r="AA17" s="13" t="s">
        <v>42</v>
      </c>
      <c r="AB17" s="13" t="s">
        <v>95</v>
      </c>
      <c r="AC17" s="13" t="s">
        <v>44</v>
      </c>
      <c r="AD17" s="13" t="s">
        <v>44</v>
      </c>
      <c r="AE17" s="13" t="s">
        <v>59</v>
      </c>
      <c r="AF17" s="13" t="s">
        <v>50</v>
      </c>
      <c r="AG17" s="13" t="s">
        <v>58</v>
      </c>
      <c r="AH17" s="13" t="s">
        <v>45</v>
      </c>
      <c r="AI17" s="13" t="s">
        <v>42</v>
      </c>
      <c r="AJ17" s="13" t="s">
        <v>58</v>
      </c>
      <c r="AK17" s="13" t="s">
        <v>45</v>
      </c>
      <c r="AL17" s="13" t="s">
        <v>41</v>
      </c>
      <c r="AM17" s="13" t="s">
        <v>58</v>
      </c>
      <c r="AN17" s="13" t="s">
        <v>43</v>
      </c>
      <c r="AO17" s="13" t="s">
        <v>47</v>
      </c>
      <c r="AP17" s="14" t="s">
        <v>44</v>
      </c>
      <c r="AQ17" s="13" t="s">
        <v>50</v>
      </c>
      <c r="AR17" s="13" t="s">
        <v>45</v>
      </c>
    </row>
    <row r="18" spans="1:44" ht="27" customHeight="1" thickBot="1" x14ac:dyDescent="0.3">
      <c r="A18" s="166"/>
      <c r="B18" s="188"/>
      <c r="C18" s="189"/>
      <c r="D18" s="189"/>
      <c r="E18" s="190"/>
      <c r="F18" s="175"/>
      <c r="G18" s="176"/>
      <c r="H18" s="179"/>
      <c r="I18" s="180"/>
      <c r="J18" s="60"/>
      <c r="K18" s="42"/>
      <c r="L18" s="34"/>
      <c r="M18" s="31"/>
      <c r="N18" s="3"/>
      <c r="O18" s="4"/>
      <c r="P18" s="4"/>
      <c r="Q18" s="12" t="s">
        <v>94</v>
      </c>
      <c r="R18" s="13" t="s">
        <v>48</v>
      </c>
      <c r="S18" s="13" t="s">
        <v>50</v>
      </c>
      <c r="T18" s="13" t="s">
        <v>42</v>
      </c>
      <c r="U18" s="13" t="s">
        <v>48</v>
      </c>
      <c r="V18" s="13" t="s">
        <v>45</v>
      </c>
      <c r="W18" s="13" t="s">
        <v>57</v>
      </c>
      <c r="X18" s="13" t="s">
        <v>45</v>
      </c>
      <c r="Y18" s="13" t="s">
        <v>58</v>
      </c>
      <c r="Z18" s="13" t="s">
        <v>45</v>
      </c>
      <c r="AA18" s="13" t="s">
        <v>42</v>
      </c>
      <c r="AB18" s="13" t="s">
        <v>95</v>
      </c>
      <c r="AC18" s="13" t="s">
        <v>44</v>
      </c>
      <c r="AD18" s="13" t="s">
        <v>44</v>
      </c>
      <c r="AE18" s="13" t="s">
        <v>59</v>
      </c>
      <c r="AF18" s="13" t="s">
        <v>50</v>
      </c>
      <c r="AG18" s="13" t="s">
        <v>58</v>
      </c>
      <c r="AH18" s="13" t="s">
        <v>45</v>
      </c>
      <c r="AI18" s="13" t="s">
        <v>42</v>
      </c>
      <c r="AJ18" s="13" t="s">
        <v>58</v>
      </c>
      <c r="AK18" s="13" t="s">
        <v>45</v>
      </c>
      <c r="AL18" s="13" t="s">
        <v>41</v>
      </c>
      <c r="AM18" s="13" t="s">
        <v>58</v>
      </c>
      <c r="AN18" s="13" t="s">
        <v>43</v>
      </c>
      <c r="AO18" s="13" t="s">
        <v>47</v>
      </c>
      <c r="AP18" s="14" t="s">
        <v>44</v>
      </c>
      <c r="AQ18" s="13" t="s">
        <v>50</v>
      </c>
      <c r="AR18" s="13" t="s">
        <v>45</v>
      </c>
    </row>
    <row r="19" spans="1:44" x14ac:dyDescent="0.25">
      <c r="J19" s="60"/>
      <c r="K19" s="42"/>
      <c r="L19" s="34"/>
      <c r="M19" s="31"/>
      <c r="N19" s="3"/>
      <c r="O19" s="4"/>
      <c r="P19" s="4"/>
      <c r="Q19" s="12" t="s">
        <v>96</v>
      </c>
      <c r="R19" s="13" t="s">
        <v>40</v>
      </c>
      <c r="S19" s="13" t="s">
        <v>49</v>
      </c>
      <c r="T19" s="13" t="s">
        <v>46</v>
      </c>
      <c r="U19" s="13" t="s">
        <v>40</v>
      </c>
      <c r="V19" s="13" t="s">
        <v>55</v>
      </c>
      <c r="W19" s="13" t="s">
        <v>49</v>
      </c>
      <c r="X19" s="13" t="s">
        <v>46</v>
      </c>
      <c r="Y19" s="13" t="s">
        <v>45</v>
      </c>
      <c r="Z19" s="13" t="s">
        <v>46</v>
      </c>
      <c r="AA19" s="13" t="s">
        <v>56</v>
      </c>
      <c r="AB19" s="13" t="s">
        <v>97</v>
      </c>
      <c r="AC19" s="13" t="s">
        <v>48</v>
      </c>
      <c r="AD19" s="13" t="s">
        <v>50</v>
      </c>
      <c r="AE19" s="13" t="s">
        <v>50</v>
      </c>
      <c r="AF19" s="13" t="s">
        <v>39</v>
      </c>
      <c r="AG19" s="13" t="s">
        <v>58</v>
      </c>
      <c r="AH19" s="13" t="s">
        <v>49</v>
      </c>
      <c r="AI19" s="13" t="s">
        <v>59</v>
      </c>
      <c r="AJ19" s="13" t="s">
        <v>46</v>
      </c>
      <c r="AK19" s="13" t="s">
        <v>49</v>
      </c>
      <c r="AL19" s="13" t="s">
        <v>48</v>
      </c>
      <c r="AM19" s="13" t="s">
        <v>43</v>
      </c>
      <c r="AN19" s="13" t="s">
        <v>60</v>
      </c>
      <c r="AO19" s="13" t="s">
        <v>47</v>
      </c>
      <c r="AP19" s="14" t="s">
        <v>44</v>
      </c>
      <c r="AQ19" s="13" t="s">
        <v>49</v>
      </c>
      <c r="AR19" s="13" t="s">
        <v>64</v>
      </c>
    </row>
    <row r="20" spans="1:44" ht="13.5" customHeight="1" thickBot="1" x14ac:dyDescent="0.3">
      <c r="A20" s="181" t="s">
        <v>98</v>
      </c>
      <c r="B20" s="181"/>
      <c r="C20" s="181"/>
      <c r="D20" s="181"/>
      <c r="E20" s="181"/>
      <c r="F20" s="181"/>
      <c r="G20" s="181"/>
      <c r="H20" s="181"/>
      <c r="I20" s="181"/>
      <c r="J20" s="60"/>
      <c r="K20" s="63"/>
      <c r="L20" s="64"/>
      <c r="M20" s="35"/>
      <c r="N20" s="3"/>
      <c r="O20" s="4"/>
      <c r="P20" s="4"/>
      <c r="Q20" s="12" t="s">
        <v>99</v>
      </c>
      <c r="R20" s="13" t="s">
        <v>48</v>
      </c>
      <c r="S20" s="13" t="s">
        <v>44</v>
      </c>
      <c r="T20" s="13" t="s">
        <v>47</v>
      </c>
      <c r="U20" s="13" t="s">
        <v>41</v>
      </c>
      <c r="V20" s="13" t="s">
        <v>50</v>
      </c>
      <c r="W20" s="13" t="s">
        <v>47</v>
      </c>
      <c r="X20" s="13" t="s">
        <v>42</v>
      </c>
      <c r="Y20" s="13" t="s">
        <v>42</v>
      </c>
      <c r="Z20" s="13" t="s">
        <v>42</v>
      </c>
      <c r="AA20" s="13" t="s">
        <v>48</v>
      </c>
      <c r="AB20" s="13" t="s">
        <v>100</v>
      </c>
      <c r="AC20" s="13" t="s">
        <v>55</v>
      </c>
      <c r="AD20" s="13" t="s">
        <v>55</v>
      </c>
      <c r="AE20" s="13" t="s">
        <v>58</v>
      </c>
      <c r="AF20" s="13" t="s">
        <v>58</v>
      </c>
      <c r="AG20" s="13" t="s">
        <v>75</v>
      </c>
      <c r="AH20" s="13" t="s">
        <v>58</v>
      </c>
      <c r="AI20" s="13" t="s">
        <v>58</v>
      </c>
      <c r="AJ20" s="13" t="s">
        <v>54</v>
      </c>
      <c r="AK20" s="13" t="s">
        <v>47</v>
      </c>
      <c r="AL20" s="13" t="s">
        <v>54</v>
      </c>
      <c r="AM20" s="13" t="s">
        <v>58</v>
      </c>
      <c r="AN20" s="13" t="s">
        <v>40</v>
      </c>
      <c r="AO20" s="13" t="s">
        <v>39</v>
      </c>
      <c r="AP20" s="14" t="s">
        <v>39</v>
      </c>
      <c r="AQ20" s="13" t="s">
        <v>46</v>
      </c>
      <c r="AR20" s="13" t="s">
        <v>44</v>
      </c>
    </row>
    <row r="21" spans="1:44" ht="13.5" customHeight="1" thickBot="1" x14ac:dyDescent="0.3">
      <c r="A21" s="151" t="s">
        <v>101</v>
      </c>
      <c r="B21" s="151"/>
      <c r="C21" s="151"/>
      <c r="D21" s="151"/>
      <c r="E21" s="151"/>
      <c r="F21" s="151"/>
      <c r="G21" s="151"/>
      <c r="H21" s="151"/>
      <c r="I21" s="151"/>
      <c r="J21" s="60"/>
      <c r="K21" s="63"/>
      <c r="L21" s="64"/>
      <c r="M21" s="22"/>
      <c r="N21" s="36" t="s">
        <v>102</v>
      </c>
      <c r="O21" s="4"/>
      <c r="P21" s="4"/>
      <c r="Q21" s="12" t="s">
        <v>103</v>
      </c>
      <c r="R21" s="13" t="s">
        <v>40</v>
      </c>
      <c r="S21" s="13" t="s">
        <v>49</v>
      </c>
      <c r="T21" s="13" t="s">
        <v>46</v>
      </c>
      <c r="U21" s="13" t="s">
        <v>40</v>
      </c>
      <c r="V21" s="13" t="s">
        <v>54</v>
      </c>
      <c r="W21" s="13" t="s">
        <v>54</v>
      </c>
      <c r="X21" s="13" t="s">
        <v>46</v>
      </c>
      <c r="Y21" s="13" t="s">
        <v>45</v>
      </c>
      <c r="Z21" s="13" t="s">
        <v>46</v>
      </c>
      <c r="AA21" s="13" t="s">
        <v>57</v>
      </c>
      <c r="AB21" s="13" t="s">
        <v>97</v>
      </c>
      <c r="AC21" s="13" t="s">
        <v>48</v>
      </c>
      <c r="AD21" s="13" t="s">
        <v>50</v>
      </c>
      <c r="AE21" s="13" t="s">
        <v>45</v>
      </c>
      <c r="AF21" s="13" t="s">
        <v>49</v>
      </c>
      <c r="AG21" s="13" t="s">
        <v>58</v>
      </c>
      <c r="AH21" s="13" t="s">
        <v>39</v>
      </c>
      <c r="AI21" s="13" t="s">
        <v>59</v>
      </c>
      <c r="AJ21" s="13" t="s">
        <v>46</v>
      </c>
      <c r="AK21" s="13" t="s">
        <v>49</v>
      </c>
      <c r="AL21" s="13" t="s">
        <v>48</v>
      </c>
      <c r="AM21" s="13" t="s">
        <v>41</v>
      </c>
      <c r="AN21" s="13" t="s">
        <v>60</v>
      </c>
      <c r="AO21" s="13" t="s">
        <v>48</v>
      </c>
      <c r="AP21" s="14" t="s">
        <v>46</v>
      </c>
      <c r="AQ21" s="13" t="s">
        <v>49</v>
      </c>
      <c r="AR21" s="13" t="s">
        <v>45</v>
      </c>
    </row>
    <row r="22" spans="1:44" ht="15" customHeight="1" thickBot="1" x14ac:dyDescent="0.3">
      <c r="A22" s="32" t="s">
        <v>2</v>
      </c>
      <c r="B22" s="218" t="s">
        <v>104</v>
      </c>
      <c r="C22" s="219"/>
      <c r="D22" s="220"/>
      <c r="E22" s="218" t="s">
        <v>105</v>
      </c>
      <c r="F22" s="219"/>
      <c r="G22" s="220"/>
      <c r="H22" s="218" t="s">
        <v>106</v>
      </c>
      <c r="I22" s="221"/>
      <c r="J22" s="75" t="s">
        <v>107</v>
      </c>
      <c r="K22" s="184" t="s">
        <v>108</v>
      </c>
      <c r="L22" s="184"/>
      <c r="M22" s="65">
        <f>K7+K8+K9+N22</f>
        <v>1800</v>
      </c>
      <c r="N22" s="37">
        <v>800</v>
      </c>
      <c r="O22" s="4"/>
      <c r="P22" s="4"/>
      <c r="Q22" s="12" t="s">
        <v>109</v>
      </c>
      <c r="R22" s="13" t="s">
        <v>41</v>
      </c>
      <c r="S22" s="13" t="s">
        <v>59</v>
      </c>
      <c r="T22" s="13" t="s">
        <v>42</v>
      </c>
      <c r="U22" s="13" t="s">
        <v>48</v>
      </c>
      <c r="V22" s="13" t="s">
        <v>59</v>
      </c>
      <c r="W22" s="13" t="s">
        <v>55</v>
      </c>
      <c r="X22" s="13" t="s">
        <v>44</v>
      </c>
      <c r="Y22" s="13" t="s">
        <v>50</v>
      </c>
      <c r="Z22" s="13" t="s">
        <v>44</v>
      </c>
      <c r="AA22" s="13" t="s">
        <v>55</v>
      </c>
      <c r="AB22" s="13" t="s">
        <v>110</v>
      </c>
      <c r="AC22" s="13" t="s">
        <v>58</v>
      </c>
      <c r="AD22" s="13" t="s">
        <v>50</v>
      </c>
      <c r="AE22" s="13" t="s">
        <v>42</v>
      </c>
      <c r="AF22" s="13" t="s">
        <v>59</v>
      </c>
      <c r="AG22" s="13" t="s">
        <v>58</v>
      </c>
      <c r="AH22" s="13" t="s">
        <v>59</v>
      </c>
      <c r="AI22" s="13" t="s">
        <v>54</v>
      </c>
      <c r="AJ22" s="13" t="s">
        <v>46</v>
      </c>
      <c r="AK22" s="13" t="s">
        <v>59</v>
      </c>
      <c r="AL22" s="13" t="s">
        <v>48</v>
      </c>
      <c r="AM22" s="13" t="s">
        <v>47</v>
      </c>
      <c r="AN22" s="13" t="s">
        <v>40</v>
      </c>
      <c r="AO22" s="13" t="s">
        <v>47</v>
      </c>
      <c r="AP22" s="14" t="s">
        <v>44</v>
      </c>
      <c r="AQ22" s="13" t="s">
        <v>42</v>
      </c>
      <c r="AR22" s="13" t="s">
        <v>57</v>
      </c>
    </row>
    <row r="23" spans="1:44" ht="32.4" customHeight="1" x14ac:dyDescent="0.25">
      <c r="A23" s="91">
        <v>1</v>
      </c>
      <c r="B23" s="196" t="s">
        <v>156</v>
      </c>
      <c r="C23" s="196"/>
      <c r="D23" s="196"/>
      <c r="E23" s="196" t="s">
        <v>167</v>
      </c>
      <c r="F23" s="196"/>
      <c r="G23" s="196"/>
      <c r="H23" s="197" t="s">
        <v>165</v>
      </c>
      <c r="I23" s="198"/>
      <c r="K23" s="195"/>
      <c r="L23" s="195"/>
      <c r="M23" s="22"/>
      <c r="O23" s="4"/>
      <c r="P23" s="4"/>
      <c r="Q23" s="12" t="s">
        <v>111</v>
      </c>
      <c r="R23" s="13" t="s">
        <v>41</v>
      </c>
      <c r="S23" s="13" t="s">
        <v>50</v>
      </c>
      <c r="T23" s="13" t="s">
        <v>47</v>
      </c>
      <c r="U23" s="13" t="s">
        <v>43</v>
      </c>
      <c r="V23" s="13" t="s">
        <v>57</v>
      </c>
      <c r="W23" s="13" t="s">
        <v>44</v>
      </c>
      <c r="X23" s="13" t="s">
        <v>42</v>
      </c>
      <c r="Y23" s="13" t="s">
        <v>39</v>
      </c>
      <c r="Z23" s="13" t="s">
        <v>42</v>
      </c>
      <c r="AA23" s="13" t="s">
        <v>58</v>
      </c>
      <c r="AB23" s="13" t="s">
        <v>95</v>
      </c>
      <c r="AC23" s="13" t="s">
        <v>42</v>
      </c>
      <c r="AD23" s="13" t="s">
        <v>49</v>
      </c>
      <c r="AE23" s="13" t="s">
        <v>58</v>
      </c>
      <c r="AF23" s="13" t="s">
        <v>46</v>
      </c>
      <c r="AG23" s="13" t="s">
        <v>54</v>
      </c>
      <c r="AH23" s="13" t="s">
        <v>46</v>
      </c>
      <c r="AI23" s="13" t="s">
        <v>46</v>
      </c>
      <c r="AJ23" s="13" t="s">
        <v>112</v>
      </c>
      <c r="AK23" s="13" t="s">
        <v>44</v>
      </c>
      <c r="AL23" s="13" t="s">
        <v>57</v>
      </c>
      <c r="AM23" s="13" t="s">
        <v>47</v>
      </c>
      <c r="AN23" s="13" t="s">
        <v>60</v>
      </c>
      <c r="AO23" s="13" t="s">
        <v>59</v>
      </c>
      <c r="AP23" s="14" t="s">
        <v>39</v>
      </c>
      <c r="AQ23" s="13" t="s">
        <v>45</v>
      </c>
      <c r="AR23" s="13" t="s">
        <v>50</v>
      </c>
    </row>
    <row r="24" spans="1:44" ht="32.4" customHeight="1" thickBot="1" x14ac:dyDescent="0.3">
      <c r="A24" s="90">
        <v>2</v>
      </c>
      <c r="B24" s="222" t="s">
        <v>164</v>
      </c>
      <c r="C24" s="222"/>
      <c r="D24" s="222"/>
      <c r="E24" s="222" t="s">
        <v>156</v>
      </c>
      <c r="F24" s="222"/>
      <c r="G24" s="222"/>
      <c r="H24" s="257" t="s">
        <v>165</v>
      </c>
      <c r="I24" s="258"/>
      <c r="K24" s="195"/>
      <c r="L24" s="195"/>
      <c r="M24" s="22"/>
      <c r="O24" s="4"/>
      <c r="P24" s="4"/>
      <c r="Q24" s="12" t="s">
        <v>113</v>
      </c>
      <c r="R24" s="13" t="s">
        <v>40</v>
      </c>
      <c r="S24" s="13" t="s">
        <v>49</v>
      </c>
      <c r="T24" s="13" t="s">
        <v>46</v>
      </c>
      <c r="U24" s="13" t="s">
        <v>40</v>
      </c>
      <c r="V24" s="13" t="s">
        <v>59</v>
      </c>
      <c r="W24" s="13" t="s">
        <v>49</v>
      </c>
      <c r="X24" s="13" t="s">
        <v>44</v>
      </c>
      <c r="Y24" s="13" t="s">
        <v>50</v>
      </c>
      <c r="Z24" s="13" t="s">
        <v>44</v>
      </c>
      <c r="AA24" s="13" t="s">
        <v>57</v>
      </c>
      <c r="AB24" s="13" t="s">
        <v>114</v>
      </c>
      <c r="AC24" s="13" t="s">
        <v>41</v>
      </c>
      <c r="AD24" s="13" t="s">
        <v>50</v>
      </c>
      <c r="AE24" s="13" t="s">
        <v>45</v>
      </c>
      <c r="AF24" s="13" t="s">
        <v>49</v>
      </c>
      <c r="AG24" s="13" t="s">
        <v>47</v>
      </c>
      <c r="AH24" s="13" t="s">
        <v>49</v>
      </c>
      <c r="AI24" s="13" t="s">
        <v>59</v>
      </c>
      <c r="AJ24" s="13" t="s">
        <v>44</v>
      </c>
      <c r="AK24" s="13" t="s">
        <v>39</v>
      </c>
      <c r="AL24" s="13" t="s">
        <v>41</v>
      </c>
      <c r="AM24" s="13" t="s">
        <v>43</v>
      </c>
      <c r="AN24" s="13" t="s">
        <v>60</v>
      </c>
      <c r="AO24" s="13" t="s">
        <v>48</v>
      </c>
      <c r="AP24" s="14" t="s">
        <v>44</v>
      </c>
      <c r="AQ24" s="13" t="s">
        <v>54</v>
      </c>
      <c r="AR24" s="13" t="s">
        <v>64</v>
      </c>
    </row>
    <row r="25" spans="1:44" ht="15" customHeight="1" thickBot="1" x14ac:dyDescent="0.3">
      <c r="J25" s="27"/>
      <c r="K25" s="195"/>
      <c r="L25" s="195"/>
      <c r="M25" s="66"/>
      <c r="N25" s="67"/>
      <c r="O25" s="4"/>
      <c r="P25" s="4"/>
      <c r="Q25" s="12" t="s">
        <v>115</v>
      </c>
      <c r="R25" s="13" t="s">
        <v>43</v>
      </c>
      <c r="S25" s="13" t="s">
        <v>47</v>
      </c>
      <c r="T25" s="13" t="s">
        <v>43</v>
      </c>
      <c r="U25" s="13" t="s">
        <v>40</v>
      </c>
      <c r="V25" s="13" t="s">
        <v>44</v>
      </c>
      <c r="W25" s="13" t="s">
        <v>41</v>
      </c>
      <c r="X25" s="13" t="s">
        <v>56</v>
      </c>
      <c r="Y25" s="13" t="s">
        <v>45</v>
      </c>
      <c r="Z25" s="13" t="s">
        <v>56</v>
      </c>
      <c r="AA25" s="13" t="s">
        <v>43</v>
      </c>
      <c r="AB25" s="13" t="s">
        <v>116</v>
      </c>
      <c r="AC25" s="13" t="s">
        <v>56</v>
      </c>
      <c r="AD25" s="13" t="s">
        <v>57</v>
      </c>
      <c r="AE25" s="13" t="s">
        <v>41</v>
      </c>
      <c r="AF25" s="13" t="s">
        <v>48</v>
      </c>
      <c r="AG25" s="13" t="s">
        <v>54</v>
      </c>
      <c r="AH25" s="13" t="s">
        <v>48</v>
      </c>
      <c r="AI25" s="13" t="s">
        <v>48</v>
      </c>
      <c r="AJ25" s="13" t="s">
        <v>57</v>
      </c>
      <c r="AK25" s="13" t="s">
        <v>41</v>
      </c>
      <c r="AL25" s="13" t="s">
        <v>75</v>
      </c>
      <c r="AM25" s="13" t="s">
        <v>48</v>
      </c>
      <c r="AN25" s="13" t="s">
        <v>60</v>
      </c>
      <c r="AO25" s="13" t="s">
        <v>39</v>
      </c>
      <c r="AP25" s="14" t="s">
        <v>55</v>
      </c>
      <c r="AQ25" s="13" t="s">
        <v>58</v>
      </c>
      <c r="AR25" s="13" t="s">
        <v>58</v>
      </c>
    </row>
    <row r="26" spans="1:44" x14ac:dyDescent="0.25">
      <c r="A26" s="78"/>
      <c r="B26" s="78"/>
      <c r="C26" s="85" t="s">
        <v>117</v>
      </c>
      <c r="D26" s="86"/>
      <c r="E26" s="199">
        <f>M22</f>
        <v>1800</v>
      </c>
      <c r="F26" s="200"/>
      <c r="G26" s="201"/>
      <c r="H26" s="78"/>
      <c r="I26" s="78"/>
      <c r="L26" s="28"/>
      <c r="M26" s="31"/>
      <c r="N26" s="30"/>
      <c r="O26" s="4"/>
      <c r="P26" s="4"/>
      <c r="Q26" s="12" t="s">
        <v>118</v>
      </c>
      <c r="R26" s="13" t="s">
        <v>49</v>
      </c>
      <c r="S26" s="13" t="s">
        <v>41</v>
      </c>
      <c r="T26" s="13" t="s">
        <v>47</v>
      </c>
      <c r="U26" s="13" t="s">
        <v>42</v>
      </c>
      <c r="V26" s="13" t="s">
        <v>41</v>
      </c>
      <c r="W26" s="13" t="s">
        <v>41</v>
      </c>
      <c r="X26" s="13" t="s">
        <v>50</v>
      </c>
      <c r="Y26" s="13" t="s">
        <v>47</v>
      </c>
      <c r="Z26" s="13" t="s">
        <v>50</v>
      </c>
      <c r="AA26" s="13" t="s">
        <v>48</v>
      </c>
      <c r="AB26" s="13" t="s">
        <v>119</v>
      </c>
      <c r="AC26" s="13" t="s">
        <v>50</v>
      </c>
      <c r="AD26" s="13" t="s">
        <v>58</v>
      </c>
      <c r="AE26" s="13" t="s">
        <v>58</v>
      </c>
      <c r="AF26" s="13" t="s">
        <v>43</v>
      </c>
      <c r="AG26" s="13" t="s">
        <v>58</v>
      </c>
      <c r="AH26" s="13" t="s">
        <v>41</v>
      </c>
      <c r="AI26" s="13" t="s">
        <v>47</v>
      </c>
      <c r="AJ26" s="13" t="s">
        <v>47</v>
      </c>
      <c r="AK26" s="13" t="s">
        <v>43</v>
      </c>
      <c r="AL26" s="13" t="s">
        <v>48</v>
      </c>
      <c r="AM26" s="13" t="s">
        <v>39</v>
      </c>
      <c r="AN26" s="13" t="s">
        <v>57</v>
      </c>
      <c r="AO26" s="13" t="s">
        <v>47</v>
      </c>
      <c r="AP26" s="14" t="s">
        <v>58</v>
      </c>
      <c r="AQ26" s="13" t="s">
        <v>43</v>
      </c>
      <c r="AR26" s="13" t="s">
        <v>58</v>
      </c>
    </row>
    <row r="27" spans="1:44" ht="15.75" customHeight="1" x14ac:dyDescent="0.25">
      <c r="A27" s="79"/>
      <c r="B27" s="81"/>
      <c r="C27" s="43" t="s">
        <v>120</v>
      </c>
      <c r="D27" s="44"/>
      <c r="E27" s="202">
        <f>K12</f>
        <v>352</v>
      </c>
      <c r="F27" s="203"/>
      <c r="G27" s="204"/>
      <c r="H27" s="82"/>
      <c r="I27" s="82"/>
      <c r="M27" s="1">
        <v>10088.68</v>
      </c>
      <c r="O27" s="4"/>
      <c r="P27" s="4"/>
      <c r="Q27" s="12" t="s">
        <v>121</v>
      </c>
      <c r="R27" s="13" t="s">
        <v>50</v>
      </c>
      <c r="S27" s="13" t="s">
        <v>60</v>
      </c>
      <c r="T27" s="13" t="s">
        <v>40</v>
      </c>
      <c r="U27" s="13" t="s">
        <v>42</v>
      </c>
      <c r="V27" s="13" t="s">
        <v>60</v>
      </c>
      <c r="W27" s="13" t="s">
        <v>60</v>
      </c>
      <c r="X27" s="13" t="s">
        <v>41</v>
      </c>
      <c r="Y27" s="13" t="s">
        <v>60</v>
      </c>
      <c r="Z27" s="13" t="s">
        <v>41</v>
      </c>
      <c r="AA27" s="13" t="s">
        <v>60</v>
      </c>
      <c r="AB27" s="13" t="s">
        <v>114</v>
      </c>
      <c r="AC27" s="13" t="s">
        <v>41</v>
      </c>
      <c r="AD27" s="13" t="s">
        <v>40</v>
      </c>
      <c r="AE27" s="13" t="s">
        <v>43</v>
      </c>
      <c r="AF27" s="13" t="s">
        <v>60</v>
      </c>
      <c r="AG27" s="13" t="s">
        <v>40</v>
      </c>
      <c r="AH27" s="13" t="s">
        <v>60</v>
      </c>
      <c r="AI27" s="13" t="s">
        <v>40</v>
      </c>
      <c r="AJ27" s="13" t="s">
        <v>60</v>
      </c>
      <c r="AK27" s="13" t="s">
        <v>60</v>
      </c>
      <c r="AL27" s="13" t="s">
        <v>60</v>
      </c>
      <c r="AM27" s="13" t="s">
        <v>57</v>
      </c>
      <c r="AN27" s="13" t="s">
        <v>59</v>
      </c>
      <c r="AO27" s="13" t="s">
        <v>60</v>
      </c>
      <c r="AP27" s="14" t="s">
        <v>40</v>
      </c>
      <c r="AQ27" s="13" t="s">
        <v>60</v>
      </c>
      <c r="AR27" s="13" t="s">
        <v>48</v>
      </c>
    </row>
    <row r="28" spans="1:44" ht="15.75" customHeight="1" thickBot="1" x14ac:dyDescent="0.3">
      <c r="C28" s="83" t="s">
        <v>122</v>
      </c>
      <c r="D28" s="84"/>
      <c r="E28" s="205">
        <f>K13</f>
        <v>216</v>
      </c>
      <c r="F28" s="206"/>
      <c r="G28" s="207"/>
      <c r="J28" s="1" t="s">
        <v>81</v>
      </c>
      <c r="N28" s="3"/>
      <c r="O28" s="4"/>
      <c r="P28" s="4"/>
      <c r="Q28" s="12" t="s">
        <v>123</v>
      </c>
      <c r="R28" s="50" t="s">
        <v>41</v>
      </c>
      <c r="S28" s="50" t="s">
        <v>58</v>
      </c>
      <c r="T28" s="50" t="s">
        <v>48</v>
      </c>
      <c r="U28" s="50" t="s">
        <v>43</v>
      </c>
      <c r="V28" s="50" t="s">
        <v>46</v>
      </c>
      <c r="W28" s="50" t="s">
        <v>48</v>
      </c>
      <c r="X28" s="50" t="s">
        <v>42</v>
      </c>
      <c r="Y28" s="50" t="s">
        <v>57</v>
      </c>
      <c r="Z28" s="50" t="s">
        <v>42</v>
      </c>
      <c r="AA28" s="50" t="s">
        <v>41</v>
      </c>
      <c r="AB28" s="50" t="s">
        <v>124</v>
      </c>
      <c r="AC28" s="50" t="s">
        <v>42</v>
      </c>
      <c r="AD28" s="50" t="s">
        <v>59</v>
      </c>
      <c r="AE28" s="50" t="s">
        <v>47</v>
      </c>
      <c r="AF28" s="50" t="s">
        <v>47</v>
      </c>
      <c r="AG28" s="50" t="s">
        <v>39</v>
      </c>
      <c r="AH28" s="50" t="s">
        <v>48</v>
      </c>
      <c r="AI28" s="50" t="s">
        <v>47</v>
      </c>
      <c r="AJ28" s="50" t="s">
        <v>59</v>
      </c>
      <c r="AK28" s="50" t="s">
        <v>48</v>
      </c>
      <c r="AL28" s="50" t="s">
        <v>39</v>
      </c>
      <c r="AM28" s="50" t="s">
        <v>47</v>
      </c>
      <c r="AN28" s="50" t="s">
        <v>60</v>
      </c>
      <c r="AO28" s="50" t="s">
        <v>75</v>
      </c>
      <c r="AP28" s="50" t="s">
        <v>49</v>
      </c>
      <c r="AQ28" s="50" t="s">
        <v>44</v>
      </c>
      <c r="AR28" s="50" t="s">
        <v>44</v>
      </c>
    </row>
    <row r="29" spans="1:44" ht="15.75" customHeight="1" x14ac:dyDescent="0.25">
      <c r="A29" s="28"/>
      <c r="B29" s="80"/>
      <c r="C29" s="208" t="s">
        <v>125</v>
      </c>
      <c r="D29" s="209"/>
      <c r="E29" s="212">
        <f>SUM(E26:F28)</f>
        <v>2368</v>
      </c>
      <c r="F29" s="213"/>
      <c r="G29" s="214"/>
      <c r="H29" s="80"/>
      <c r="I29" s="80"/>
      <c r="N29" s="3"/>
      <c r="O29" s="4"/>
      <c r="P29" s="4"/>
      <c r="Q29" s="38" t="s">
        <v>126</v>
      </c>
      <c r="R29" s="14" t="s">
        <v>48</v>
      </c>
      <c r="S29" s="14" t="s">
        <v>46</v>
      </c>
      <c r="T29" s="14" t="s">
        <v>58</v>
      </c>
      <c r="U29" s="14" t="s">
        <v>41</v>
      </c>
      <c r="V29" s="14" t="s">
        <v>45</v>
      </c>
      <c r="W29" s="14" t="s">
        <v>58</v>
      </c>
      <c r="X29" s="14" t="s">
        <v>54</v>
      </c>
      <c r="Y29" s="14" t="s">
        <v>55</v>
      </c>
      <c r="Z29" s="14" t="s">
        <v>54</v>
      </c>
      <c r="AA29" s="14" t="s">
        <v>58</v>
      </c>
      <c r="AB29" s="14" t="s">
        <v>100</v>
      </c>
      <c r="AC29" s="14" t="s">
        <v>55</v>
      </c>
      <c r="AD29" s="14" t="s">
        <v>49</v>
      </c>
      <c r="AE29" s="14" t="s">
        <v>44</v>
      </c>
      <c r="AF29" s="14" t="s">
        <v>44</v>
      </c>
      <c r="AG29" s="14" t="s">
        <v>39</v>
      </c>
      <c r="AH29" s="14" t="s">
        <v>46</v>
      </c>
      <c r="AI29" s="14" t="s">
        <v>44</v>
      </c>
      <c r="AJ29" s="14" t="s">
        <v>39</v>
      </c>
      <c r="AK29" s="14" t="s">
        <v>44</v>
      </c>
      <c r="AL29" s="14" t="s">
        <v>55</v>
      </c>
      <c r="AM29" s="14" t="s">
        <v>58</v>
      </c>
      <c r="AN29" s="14" t="s">
        <v>40</v>
      </c>
      <c r="AO29" s="14" t="s">
        <v>49</v>
      </c>
      <c r="AP29" s="14" t="s">
        <v>112</v>
      </c>
      <c r="AQ29" s="14" t="s">
        <v>50</v>
      </c>
      <c r="AR29" s="14" t="s">
        <v>50</v>
      </c>
    </row>
    <row r="30" spans="1:44" ht="15.75" customHeight="1" thickBot="1" x14ac:dyDescent="0.3">
      <c r="C30" s="210"/>
      <c r="D30" s="211"/>
      <c r="E30" s="215"/>
      <c r="F30" s="216"/>
      <c r="G30" s="217"/>
      <c r="M30" s="41"/>
      <c r="N30" s="4"/>
      <c r="Q30" s="12" t="s">
        <v>127</v>
      </c>
      <c r="R30" s="13" t="s">
        <v>40</v>
      </c>
      <c r="S30" s="13" t="s">
        <v>49</v>
      </c>
      <c r="T30" s="13" t="s">
        <v>46</v>
      </c>
      <c r="U30" s="13" t="s">
        <v>60</v>
      </c>
      <c r="V30" s="13" t="s">
        <v>54</v>
      </c>
      <c r="W30" s="13" t="s">
        <v>59</v>
      </c>
      <c r="X30" s="13" t="s">
        <v>45</v>
      </c>
      <c r="Y30" s="13" t="s">
        <v>42</v>
      </c>
      <c r="Z30" s="13" t="s">
        <v>45</v>
      </c>
      <c r="AA30" s="13" t="s">
        <v>56</v>
      </c>
      <c r="AB30" s="13" t="s">
        <v>110</v>
      </c>
      <c r="AC30" s="13" t="s">
        <v>58</v>
      </c>
      <c r="AD30" s="13" t="s">
        <v>57</v>
      </c>
      <c r="AE30" s="13" t="s">
        <v>50</v>
      </c>
      <c r="AF30" s="13" t="s">
        <v>49</v>
      </c>
      <c r="AG30" s="13" t="s">
        <v>46</v>
      </c>
      <c r="AH30" s="13" t="s">
        <v>49</v>
      </c>
      <c r="AI30" s="13" t="s">
        <v>42</v>
      </c>
      <c r="AJ30" s="13" t="s">
        <v>45</v>
      </c>
      <c r="AK30" s="13" t="s">
        <v>54</v>
      </c>
      <c r="AL30" s="13" t="s">
        <v>58</v>
      </c>
      <c r="AM30" s="13" t="s">
        <v>43</v>
      </c>
      <c r="AN30" s="13" t="s">
        <v>60</v>
      </c>
      <c r="AO30" s="13" t="s">
        <v>44</v>
      </c>
      <c r="AP30" s="14" t="s">
        <v>50</v>
      </c>
      <c r="AQ30" s="13" t="s">
        <v>39</v>
      </c>
      <c r="AR30" s="13" t="s">
        <v>56</v>
      </c>
    </row>
    <row r="31" spans="1:44" x14ac:dyDescent="0.25">
      <c r="A31" s="27"/>
      <c r="B31" s="27"/>
      <c r="C31" s="27"/>
      <c r="D31" s="27"/>
      <c r="E31" s="27"/>
      <c r="F31" s="27"/>
      <c r="G31" s="27"/>
      <c r="H31" s="27"/>
      <c r="I31" s="27"/>
      <c r="M31" s="26"/>
      <c r="N31" s="26"/>
      <c r="Q31" s="12" t="s">
        <v>128</v>
      </c>
      <c r="R31" s="13" t="s">
        <v>51</v>
      </c>
      <c r="S31" s="13" t="s">
        <v>45</v>
      </c>
      <c r="T31" s="13" t="s">
        <v>64</v>
      </c>
      <c r="U31" s="13" t="s">
        <v>58</v>
      </c>
      <c r="V31" s="13" t="s">
        <v>56</v>
      </c>
      <c r="W31" s="13" t="s">
        <v>64</v>
      </c>
      <c r="X31" s="13" t="s">
        <v>55</v>
      </c>
      <c r="Y31" s="13" t="s">
        <v>50</v>
      </c>
      <c r="Z31" s="13" t="s">
        <v>59</v>
      </c>
      <c r="AA31" s="13" t="s">
        <v>56</v>
      </c>
      <c r="AB31" s="13" t="s">
        <v>92</v>
      </c>
      <c r="AC31" s="13" t="s">
        <v>50</v>
      </c>
      <c r="AD31" s="13" t="s">
        <v>64</v>
      </c>
      <c r="AE31" s="13" t="s">
        <v>45</v>
      </c>
      <c r="AF31" s="13" t="s">
        <v>64</v>
      </c>
      <c r="AG31" s="13" t="s">
        <v>44</v>
      </c>
      <c r="AH31" s="13" t="s">
        <v>45</v>
      </c>
      <c r="AI31" s="13" t="s">
        <v>57</v>
      </c>
      <c r="AJ31" s="13" t="s">
        <v>50</v>
      </c>
      <c r="AK31" s="13" t="s">
        <v>64</v>
      </c>
      <c r="AL31" s="13" t="s">
        <v>58</v>
      </c>
      <c r="AM31" s="13" t="s">
        <v>58</v>
      </c>
      <c r="AN31" s="13" t="s">
        <v>48</v>
      </c>
      <c r="AO31" s="13" t="s">
        <v>44</v>
      </c>
      <c r="AP31" s="14" t="s">
        <v>50</v>
      </c>
      <c r="AQ31" s="13" t="s">
        <v>56</v>
      </c>
      <c r="AR31" s="13" t="s">
        <v>54</v>
      </c>
    </row>
    <row r="32" spans="1:44" ht="13.5" customHeight="1" x14ac:dyDescent="0.25">
      <c r="A32" s="181" t="s">
        <v>129</v>
      </c>
      <c r="B32" s="181"/>
      <c r="C32" s="181"/>
      <c r="D32" s="181"/>
      <c r="E32" s="181"/>
      <c r="F32" s="181"/>
      <c r="G32" s="181"/>
      <c r="H32" s="181"/>
      <c r="I32" s="181"/>
      <c r="J32" s="60"/>
      <c r="K32" s="63"/>
      <c r="L32" s="64" t="s">
        <v>130</v>
      </c>
      <c r="M32" s="93">
        <v>7.3999999999999996E-2</v>
      </c>
      <c r="N32" s="3" t="s">
        <v>102</v>
      </c>
      <c r="O32" s="4"/>
      <c r="P32" s="4"/>
      <c r="Q32" s="12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4"/>
      <c r="AQ32" s="13"/>
      <c r="AR32" s="13"/>
    </row>
    <row r="33" spans="1:14" ht="15" customHeight="1" thickBot="1" x14ac:dyDescent="0.3">
      <c r="A33" s="181" t="s">
        <v>170</v>
      </c>
      <c r="B33" s="181"/>
      <c r="C33" s="181"/>
      <c r="D33" s="181"/>
      <c r="E33" s="181"/>
      <c r="F33" s="181"/>
      <c r="G33" s="181"/>
      <c r="H33" s="181"/>
      <c r="I33" s="181"/>
      <c r="L33" s="74" t="s">
        <v>132</v>
      </c>
      <c r="M33" s="35">
        <f>E29*M32</f>
        <v>175.232</v>
      </c>
      <c r="N33" s="35">
        <f>N22-M33</f>
        <v>624.76800000000003</v>
      </c>
    </row>
    <row r="34" spans="1:14" ht="13.8" thickBot="1" x14ac:dyDescent="0.3">
      <c r="A34" s="88" t="s">
        <v>2</v>
      </c>
      <c r="B34" s="161" t="s">
        <v>133</v>
      </c>
      <c r="C34" s="162"/>
      <c r="D34" s="163"/>
      <c r="E34" s="161" t="s">
        <v>134</v>
      </c>
      <c r="F34" s="162"/>
      <c r="G34" s="163"/>
      <c r="H34" s="161" t="s">
        <v>135</v>
      </c>
      <c r="I34" s="164"/>
      <c r="L34" s="28" t="s">
        <v>136</v>
      </c>
      <c r="M34" s="35">
        <f>E38*M32</f>
        <v>258.11199999999997</v>
      </c>
      <c r="N34" s="35">
        <f>N22-M34</f>
        <v>541.88800000000003</v>
      </c>
    </row>
    <row r="35" spans="1:14" ht="12.75" customHeight="1" x14ac:dyDescent="0.25">
      <c r="A35" s="87">
        <v>1</v>
      </c>
      <c r="B35" s="278" t="s">
        <v>157</v>
      </c>
      <c r="C35" s="278"/>
      <c r="D35" s="278"/>
      <c r="E35" s="278" t="s">
        <v>168</v>
      </c>
      <c r="F35" s="278"/>
      <c r="G35" s="278"/>
      <c r="H35" s="276">
        <f>K10</f>
        <v>500</v>
      </c>
      <c r="I35" s="277"/>
      <c r="L35" s="28"/>
      <c r="M35" s="35"/>
      <c r="N35" s="35"/>
    </row>
    <row r="36" spans="1:14" ht="13.5" customHeight="1" thickBot="1" x14ac:dyDescent="0.3">
      <c r="A36" s="40">
        <v>1</v>
      </c>
      <c r="B36" s="222" t="s">
        <v>153</v>
      </c>
      <c r="C36" s="222"/>
      <c r="D36" s="222"/>
      <c r="E36" s="222" t="s">
        <v>169</v>
      </c>
      <c r="F36" s="222"/>
      <c r="G36" s="222"/>
      <c r="H36" s="257">
        <f>K11</f>
        <v>500</v>
      </c>
      <c r="I36" s="258"/>
      <c r="L36" s="28"/>
      <c r="M36" s="35"/>
      <c r="N36" s="35"/>
    </row>
    <row r="37" spans="1:14" ht="13.8" thickBot="1" x14ac:dyDescent="0.3">
      <c r="A37" s="77"/>
      <c r="B37" s="77"/>
      <c r="C37" s="266"/>
      <c r="D37" s="266"/>
      <c r="E37" s="76"/>
      <c r="F37" s="150"/>
      <c r="G37" s="150"/>
      <c r="H37" s="266"/>
      <c r="I37" s="266"/>
      <c r="J37" s="69"/>
      <c r="K37" s="69"/>
    </row>
    <row r="38" spans="1:14" ht="15" customHeight="1" x14ac:dyDescent="0.25">
      <c r="A38" s="229"/>
      <c r="B38" s="229"/>
      <c r="C38" s="268" t="s">
        <v>137</v>
      </c>
      <c r="D38" s="269"/>
      <c r="E38" s="272">
        <f>M22+K10+K11+K12+K14</f>
        <v>3488</v>
      </c>
      <c r="F38" s="272"/>
      <c r="G38" s="273"/>
      <c r="H38" s="236"/>
      <c r="I38" s="236"/>
      <c r="M38" s="41"/>
      <c r="N38" s="4"/>
    </row>
    <row r="39" spans="1:14" ht="15.75" customHeight="1" thickBot="1" x14ac:dyDescent="0.3">
      <c r="A39" s="229"/>
      <c r="B39" s="229"/>
      <c r="C39" s="270"/>
      <c r="D39" s="271"/>
      <c r="E39" s="274"/>
      <c r="F39" s="274"/>
      <c r="G39" s="275"/>
      <c r="H39" s="236"/>
      <c r="I39" s="236"/>
      <c r="M39" s="41"/>
      <c r="N39" s="4"/>
    </row>
    <row r="40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M40" s="41"/>
      <c r="N40" s="4"/>
    </row>
    <row r="41" spans="1:14" ht="13.8" x14ac:dyDescent="0.25">
      <c r="A41" s="225" t="s">
        <v>138</v>
      </c>
      <c r="B41" s="225"/>
      <c r="C41" s="225"/>
      <c r="D41" s="225"/>
      <c r="E41" s="225"/>
      <c r="F41" s="225"/>
      <c r="G41" s="225"/>
      <c r="H41" s="225"/>
      <c r="I41" s="225"/>
      <c r="L41" s="28"/>
      <c r="M41" s="35"/>
      <c r="N41" s="35"/>
    </row>
    <row r="42" spans="1:14" ht="13.8" x14ac:dyDescent="0.25">
      <c r="A42" s="225" t="s">
        <v>139</v>
      </c>
      <c r="B42" s="225"/>
      <c r="C42" s="225"/>
      <c r="D42" s="225"/>
      <c r="E42" s="225"/>
      <c r="F42" s="225"/>
      <c r="G42" s="225"/>
      <c r="H42" s="225"/>
      <c r="I42" s="225"/>
      <c r="K42" s="28"/>
      <c r="L42" s="31"/>
      <c r="M42" s="30"/>
    </row>
    <row r="43" spans="1:14" ht="15.75" customHeight="1" x14ac:dyDescent="0.25">
      <c r="A43" s="225" t="s">
        <v>152</v>
      </c>
      <c r="B43" s="225"/>
      <c r="C43" s="225"/>
      <c r="D43" s="225"/>
      <c r="E43" s="225"/>
      <c r="F43" s="225"/>
      <c r="G43" s="225"/>
      <c r="H43" s="225"/>
      <c r="I43" s="225"/>
      <c r="K43" s="28"/>
      <c r="L43" s="31"/>
      <c r="M43" s="31"/>
    </row>
    <row r="44" spans="1:14" ht="4.5" customHeight="1" x14ac:dyDescent="0.25">
      <c r="K44" s="28"/>
      <c r="L44" s="35"/>
      <c r="M44" s="35"/>
    </row>
    <row r="45" spans="1:14" ht="15" customHeight="1" x14ac:dyDescent="0.25"/>
    <row r="46" spans="1:14" ht="13.5" customHeight="1" x14ac:dyDescent="0.25">
      <c r="A46" s="1" t="s">
        <v>140</v>
      </c>
    </row>
    <row r="47" spans="1:14" s="45" customForma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4" x14ac:dyDescent="0.25">
      <c r="A48" s="46" t="s">
        <v>141</v>
      </c>
    </row>
    <row r="49" spans="1:9" x14ac:dyDescent="0.25">
      <c r="A49" s="46" t="s">
        <v>142</v>
      </c>
    </row>
    <row r="50" spans="1:9" x14ac:dyDescent="0.25">
      <c r="A50" s="46" t="s">
        <v>143</v>
      </c>
    </row>
    <row r="52" spans="1:9" x14ac:dyDescent="0.25">
      <c r="A52" s="226" t="s">
        <v>144</v>
      </c>
      <c r="B52" s="226"/>
      <c r="C52" s="226"/>
      <c r="D52" s="226"/>
      <c r="E52" s="226"/>
      <c r="F52" s="226"/>
      <c r="G52" s="226"/>
      <c r="H52" s="226"/>
      <c r="I52" s="226"/>
    </row>
    <row r="53" spans="1:9" x14ac:dyDescent="0.25">
      <c r="A53" s="155" t="s">
        <v>155</v>
      </c>
      <c r="B53" s="155"/>
      <c r="C53" s="155"/>
      <c r="D53" s="155"/>
      <c r="E53" s="155"/>
      <c r="F53" s="155"/>
      <c r="G53" s="155"/>
      <c r="H53" s="155"/>
      <c r="I53" s="155"/>
    </row>
    <row r="54" spans="1:9" x14ac:dyDescent="0.25">
      <c r="A54" s="227" t="s">
        <v>145</v>
      </c>
      <c r="B54" s="227"/>
      <c r="C54" s="227"/>
      <c r="D54" s="227"/>
      <c r="E54" s="227"/>
      <c r="F54" s="227"/>
      <c r="G54" s="227"/>
      <c r="H54" s="227"/>
      <c r="I54" s="227"/>
    </row>
    <row r="56" spans="1:9" x14ac:dyDescent="0.25">
      <c r="A56" s="28" t="s">
        <v>146</v>
      </c>
      <c r="B56" s="28"/>
      <c r="C56" s="28"/>
      <c r="D56" s="28"/>
    </row>
    <row r="57" spans="1:9" ht="12.75" customHeight="1" x14ac:dyDescent="0.25">
      <c r="A57" s="47" t="s">
        <v>147</v>
      </c>
      <c r="B57" s="47"/>
      <c r="C57" s="47"/>
      <c r="D57" s="28"/>
    </row>
    <row r="58" spans="1:9" x14ac:dyDescent="0.25">
      <c r="A58" s="28" t="s">
        <v>148</v>
      </c>
      <c r="B58" s="28"/>
      <c r="C58" s="28"/>
      <c r="D58" s="28"/>
    </row>
    <row r="59" spans="1:9" x14ac:dyDescent="0.25">
      <c r="A59" s="48" t="s">
        <v>149</v>
      </c>
      <c r="B59" s="49"/>
      <c r="C59" s="49"/>
      <c r="D59" s="28"/>
    </row>
    <row r="60" spans="1:9" x14ac:dyDescent="0.25">
      <c r="A60" s="28" t="s">
        <v>150</v>
      </c>
      <c r="B60" s="28"/>
      <c r="C60" s="28"/>
      <c r="D60" s="28"/>
    </row>
    <row r="61" spans="1:9" x14ac:dyDescent="0.25">
      <c r="B61" s="28"/>
      <c r="C61" s="28"/>
      <c r="F61" s="228"/>
      <c r="G61" s="228"/>
      <c r="H61" s="228"/>
      <c r="I61" s="228"/>
    </row>
    <row r="63" spans="1:9" x14ac:dyDescent="0.25">
      <c r="A63" s="28"/>
      <c r="B63" s="28"/>
      <c r="C63" s="28"/>
      <c r="D63" s="28"/>
    </row>
    <row r="64" spans="1:9" x14ac:dyDescent="0.25">
      <c r="A64" s="47"/>
      <c r="B64" s="47"/>
      <c r="C64" s="47"/>
      <c r="D64" s="28"/>
    </row>
    <row r="65" spans="1:4" x14ac:dyDescent="0.25">
      <c r="A65" s="28"/>
      <c r="B65" s="28"/>
      <c r="C65" s="28"/>
      <c r="D65" s="28"/>
    </row>
    <row r="66" spans="1:4" x14ac:dyDescent="0.25">
      <c r="A66" s="28"/>
      <c r="B66" s="28"/>
      <c r="C66" s="28"/>
      <c r="D66" s="28"/>
    </row>
    <row r="67" spans="1:4" x14ac:dyDescent="0.25">
      <c r="A67" s="48"/>
      <c r="B67" s="49"/>
      <c r="C67" s="49"/>
      <c r="D67" s="28"/>
    </row>
    <row r="68" spans="1:4" x14ac:dyDescent="0.25">
      <c r="A68" s="28"/>
      <c r="B68" s="28"/>
      <c r="C68" s="28"/>
      <c r="D68" s="28"/>
    </row>
  </sheetData>
  <mergeCells count="62">
    <mergeCell ref="H35:I35"/>
    <mergeCell ref="E29:G30"/>
    <mergeCell ref="B35:D35"/>
    <mergeCell ref="E35:G35"/>
    <mergeCell ref="B36:D36"/>
    <mergeCell ref="E26:G26"/>
    <mergeCell ref="B34:D34"/>
    <mergeCell ref="E34:G34"/>
    <mergeCell ref="A32:I32"/>
    <mergeCell ref="A33:I33"/>
    <mergeCell ref="C29:D30"/>
    <mergeCell ref="E27:G27"/>
    <mergeCell ref="E28:G28"/>
    <mergeCell ref="H17:I18"/>
    <mergeCell ref="B22:D22"/>
    <mergeCell ref="E22:G22"/>
    <mergeCell ref="H22:I22"/>
    <mergeCell ref="A20:I20"/>
    <mergeCell ref="A17:A18"/>
    <mergeCell ref="B17:E18"/>
    <mergeCell ref="A21:I21"/>
    <mergeCell ref="F17:G18"/>
    <mergeCell ref="Q1:AR1"/>
    <mergeCell ref="B3:E5"/>
    <mergeCell ref="K3:K4"/>
    <mergeCell ref="L3:L4"/>
    <mergeCell ref="M3:M4"/>
    <mergeCell ref="K1:M1"/>
    <mergeCell ref="J6:K6"/>
    <mergeCell ref="C9:G9"/>
    <mergeCell ref="A11:I11"/>
    <mergeCell ref="L13:M14"/>
    <mergeCell ref="B16:E16"/>
    <mergeCell ref="F16:G16"/>
    <mergeCell ref="H16:I16"/>
    <mergeCell ref="F61:I61"/>
    <mergeCell ref="H36:I36"/>
    <mergeCell ref="H37:I37"/>
    <mergeCell ref="A41:I41"/>
    <mergeCell ref="A42:I42"/>
    <mergeCell ref="A43:I43"/>
    <mergeCell ref="A52:I52"/>
    <mergeCell ref="A54:I54"/>
    <mergeCell ref="H38:I39"/>
    <mergeCell ref="A38:B39"/>
    <mergeCell ref="C38:D39"/>
    <mergeCell ref="E38:G39"/>
    <mergeCell ref="A53:I53"/>
    <mergeCell ref="E36:G36"/>
    <mergeCell ref="F37:G37"/>
    <mergeCell ref="C37:D37"/>
    <mergeCell ref="K25:L25"/>
    <mergeCell ref="K22:L22"/>
    <mergeCell ref="K23:L23"/>
    <mergeCell ref="H34:I34"/>
    <mergeCell ref="K24:L24"/>
    <mergeCell ref="B23:D23"/>
    <mergeCell ref="E23:G23"/>
    <mergeCell ref="H23:I23"/>
    <mergeCell ref="B24:D24"/>
    <mergeCell ref="E24:G24"/>
    <mergeCell ref="H24:I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colBreaks count="2" manualBreakCount="2">
    <brk id="9" max="1048575" man="1"/>
    <brk id="15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78DF-E3A7-4DB0-A267-E6D9FEA5D6C4}">
  <dimension ref="A1:K17"/>
  <sheetViews>
    <sheetView topLeftCell="A5" workbookViewId="0">
      <selection sqref="A1:J17"/>
    </sheetView>
  </sheetViews>
  <sheetFormatPr defaultRowHeight="14.4" x14ac:dyDescent="0.3"/>
  <cols>
    <col min="1" max="1" width="14.5546875" customWidth="1"/>
    <col min="2" max="2" width="20.44140625" customWidth="1"/>
    <col min="3" max="3" width="10.21875" customWidth="1"/>
    <col min="4" max="4" width="11.77734375" customWidth="1"/>
    <col min="5" max="5" width="10.33203125" customWidth="1"/>
    <col min="7" max="8" width="39.6640625" customWidth="1"/>
    <col min="9" max="9" width="20.109375" style="113" customWidth="1"/>
    <col min="10" max="10" width="14.21875" style="117" customWidth="1"/>
  </cols>
  <sheetData>
    <row r="1" spans="1:11" ht="29.4" customHeight="1" thickBot="1" x14ac:dyDescent="0.35">
      <c r="A1" s="106" t="s">
        <v>178</v>
      </c>
      <c r="B1" s="107" t="s">
        <v>179</v>
      </c>
      <c r="C1" s="107" t="s">
        <v>180</v>
      </c>
      <c r="D1" s="107" t="s">
        <v>181</v>
      </c>
      <c r="E1" s="107" t="s">
        <v>182</v>
      </c>
      <c r="F1" s="107" t="s">
        <v>183</v>
      </c>
      <c r="G1" s="107" t="s">
        <v>184</v>
      </c>
      <c r="H1" s="107" t="s">
        <v>185</v>
      </c>
      <c r="I1" s="109" t="s">
        <v>222</v>
      </c>
      <c r="J1" s="108" t="s">
        <v>223</v>
      </c>
    </row>
    <row r="2" spans="1:11" ht="28.2" customHeight="1" x14ac:dyDescent="0.3">
      <c r="A2" s="103" t="s">
        <v>186</v>
      </c>
      <c r="B2" s="104" t="s">
        <v>187</v>
      </c>
      <c r="C2" s="104" t="s">
        <v>188</v>
      </c>
      <c r="D2" s="105">
        <v>19923</v>
      </c>
      <c r="E2" s="104" t="s">
        <v>189</v>
      </c>
      <c r="F2" s="296">
        <v>10</v>
      </c>
      <c r="G2" s="104" t="s">
        <v>190</v>
      </c>
      <c r="H2" s="104" t="s">
        <v>191</v>
      </c>
      <c r="I2" s="110">
        <v>2627</v>
      </c>
      <c r="J2" s="114" t="s">
        <v>224</v>
      </c>
      <c r="K2" t="s">
        <v>228</v>
      </c>
    </row>
    <row r="3" spans="1:11" ht="26.4" x14ac:dyDescent="0.3">
      <c r="A3" s="99" t="s">
        <v>192</v>
      </c>
      <c r="B3" s="96" t="s">
        <v>187</v>
      </c>
      <c r="C3" s="96" t="s">
        <v>188</v>
      </c>
      <c r="D3" s="97">
        <v>19923</v>
      </c>
      <c r="E3" s="96" t="s">
        <v>189</v>
      </c>
      <c r="F3" s="297"/>
      <c r="G3" s="96" t="s">
        <v>190</v>
      </c>
      <c r="H3" s="96" t="s">
        <v>191</v>
      </c>
      <c r="I3" s="110">
        <v>2627</v>
      </c>
      <c r="J3" s="114" t="s">
        <v>224</v>
      </c>
      <c r="K3" t="s">
        <v>228</v>
      </c>
    </row>
    <row r="4" spans="1:11" ht="26.4" x14ac:dyDescent="0.3">
      <c r="A4" s="99" t="s">
        <v>193</v>
      </c>
      <c r="B4" s="96" t="s">
        <v>187</v>
      </c>
      <c r="C4" s="96" t="s">
        <v>194</v>
      </c>
      <c r="D4" s="97">
        <v>17089</v>
      </c>
      <c r="E4" s="96" t="s">
        <v>189</v>
      </c>
      <c r="F4" s="297"/>
      <c r="G4" s="96" t="s">
        <v>190</v>
      </c>
      <c r="H4" s="96" t="s">
        <v>191</v>
      </c>
      <c r="I4" s="110">
        <v>2627</v>
      </c>
      <c r="J4" s="114" t="s">
        <v>224</v>
      </c>
      <c r="K4" t="s">
        <v>228</v>
      </c>
    </row>
    <row r="5" spans="1:11" ht="26.4" x14ac:dyDescent="0.3">
      <c r="A5" s="99" t="s">
        <v>195</v>
      </c>
      <c r="B5" s="96" t="s">
        <v>187</v>
      </c>
      <c r="C5" s="96" t="s">
        <v>196</v>
      </c>
      <c r="D5" s="97">
        <v>14000</v>
      </c>
      <c r="E5" s="96" t="s">
        <v>189</v>
      </c>
      <c r="F5" s="297"/>
      <c r="G5" s="96" t="s">
        <v>190</v>
      </c>
      <c r="H5" s="96" t="s">
        <v>191</v>
      </c>
      <c r="I5" s="110">
        <v>2627</v>
      </c>
      <c r="J5" s="114" t="s">
        <v>224</v>
      </c>
      <c r="K5" t="s">
        <v>228</v>
      </c>
    </row>
    <row r="6" spans="1:11" ht="26.4" x14ac:dyDescent="0.3">
      <c r="A6" s="99" t="s">
        <v>197</v>
      </c>
      <c r="B6" s="96" t="s">
        <v>187</v>
      </c>
      <c r="C6" s="96" t="s">
        <v>198</v>
      </c>
      <c r="D6" s="97">
        <v>15385</v>
      </c>
      <c r="E6" s="96" t="s">
        <v>189</v>
      </c>
      <c r="F6" s="297"/>
      <c r="G6" s="96" t="s">
        <v>190</v>
      </c>
      <c r="H6" s="96" t="s">
        <v>191</v>
      </c>
      <c r="I6" s="110">
        <v>2627</v>
      </c>
      <c r="J6" s="114" t="s">
        <v>224</v>
      </c>
      <c r="K6" t="s">
        <v>228</v>
      </c>
    </row>
    <row r="7" spans="1:11" ht="26.4" x14ac:dyDescent="0.3">
      <c r="A7" s="99" t="s">
        <v>199</v>
      </c>
      <c r="B7" s="96" t="s">
        <v>187</v>
      </c>
      <c r="C7" s="96" t="s">
        <v>194</v>
      </c>
      <c r="D7" s="97">
        <v>17089</v>
      </c>
      <c r="E7" s="96" t="s">
        <v>189</v>
      </c>
      <c r="F7" s="297"/>
      <c r="G7" s="96" t="s">
        <v>190</v>
      </c>
      <c r="H7" s="96" t="s">
        <v>191</v>
      </c>
      <c r="I7" s="110">
        <v>2627</v>
      </c>
      <c r="J7" s="114" t="s">
        <v>224</v>
      </c>
      <c r="K7" t="s">
        <v>228</v>
      </c>
    </row>
    <row r="8" spans="1:11" ht="26.4" x14ac:dyDescent="0.3">
      <c r="A8" s="99" t="s">
        <v>200</v>
      </c>
      <c r="B8" s="96" t="s">
        <v>201</v>
      </c>
      <c r="C8" s="96" t="s">
        <v>194</v>
      </c>
      <c r="D8" s="97">
        <v>17866</v>
      </c>
      <c r="E8" s="96" t="s">
        <v>189</v>
      </c>
      <c r="F8" s="297"/>
      <c r="G8" s="96" t="s">
        <v>190</v>
      </c>
      <c r="H8" s="96" t="s">
        <v>191</v>
      </c>
      <c r="I8" s="110">
        <v>2627</v>
      </c>
      <c r="J8" s="114" t="s">
        <v>224</v>
      </c>
      <c r="K8" t="s">
        <v>228</v>
      </c>
    </row>
    <row r="9" spans="1:11" ht="26.4" x14ac:dyDescent="0.3">
      <c r="A9" s="99" t="s">
        <v>202</v>
      </c>
      <c r="B9" s="96" t="s">
        <v>187</v>
      </c>
      <c r="C9" s="96" t="s">
        <v>194</v>
      </c>
      <c r="D9" s="97">
        <v>17089</v>
      </c>
      <c r="E9" s="96" t="s">
        <v>189</v>
      </c>
      <c r="F9" s="297"/>
      <c r="G9" s="96" t="s">
        <v>190</v>
      </c>
      <c r="H9" s="96" t="s">
        <v>191</v>
      </c>
      <c r="I9" s="110">
        <v>2627</v>
      </c>
      <c r="J9" s="114" t="s">
        <v>224</v>
      </c>
      <c r="K9" t="s">
        <v>228</v>
      </c>
    </row>
    <row r="10" spans="1:11" ht="26.4" x14ac:dyDescent="0.3">
      <c r="A10" s="99" t="s">
        <v>203</v>
      </c>
      <c r="B10" s="96" t="s">
        <v>187</v>
      </c>
      <c r="C10" s="96" t="s">
        <v>204</v>
      </c>
      <c r="D10" s="97">
        <v>18280</v>
      </c>
      <c r="E10" s="96" t="s">
        <v>189</v>
      </c>
      <c r="F10" s="297"/>
      <c r="G10" s="96" t="s">
        <v>190</v>
      </c>
      <c r="H10" s="96" t="s">
        <v>191</v>
      </c>
      <c r="I10" s="110">
        <v>2627</v>
      </c>
      <c r="J10" s="114" t="s">
        <v>224</v>
      </c>
      <c r="K10" t="s">
        <v>228</v>
      </c>
    </row>
    <row r="11" spans="1:11" ht="26.4" x14ac:dyDescent="0.3">
      <c r="A11" s="99" t="s">
        <v>205</v>
      </c>
      <c r="B11" s="96" t="s">
        <v>187</v>
      </c>
      <c r="C11" s="96" t="s">
        <v>206</v>
      </c>
      <c r="D11" s="97">
        <v>14631</v>
      </c>
      <c r="E11" s="96" t="s">
        <v>189</v>
      </c>
      <c r="F11" s="297"/>
      <c r="G11" s="96" t="s">
        <v>190</v>
      </c>
      <c r="H11" s="96" t="s">
        <v>191</v>
      </c>
      <c r="I11" s="110">
        <v>2627</v>
      </c>
      <c r="J11" s="114" t="s">
        <v>224</v>
      </c>
      <c r="K11" t="s">
        <v>228</v>
      </c>
    </row>
    <row r="12" spans="1:11" ht="39.6" x14ac:dyDescent="0.3">
      <c r="A12" s="99" t="s">
        <v>207</v>
      </c>
      <c r="B12" s="96" t="s">
        <v>187</v>
      </c>
      <c r="C12" s="96" t="s">
        <v>206</v>
      </c>
      <c r="D12" s="97">
        <v>15411</v>
      </c>
      <c r="E12" s="96" t="s">
        <v>208</v>
      </c>
      <c r="F12" s="98">
        <v>1</v>
      </c>
      <c r="G12" s="96" t="s">
        <v>209</v>
      </c>
      <c r="H12" s="96" t="s">
        <v>191</v>
      </c>
      <c r="I12" s="111">
        <v>1465</v>
      </c>
      <c r="J12" s="115" t="s">
        <v>177</v>
      </c>
      <c r="K12" t="s">
        <v>227</v>
      </c>
    </row>
    <row r="13" spans="1:11" ht="26.4" x14ac:dyDescent="0.3">
      <c r="A13" s="99" t="s">
        <v>210</v>
      </c>
      <c r="B13" s="96" t="s">
        <v>187</v>
      </c>
      <c r="C13" s="96" t="s">
        <v>198</v>
      </c>
      <c r="D13" s="97">
        <v>15929</v>
      </c>
      <c r="E13" s="96" t="s">
        <v>211</v>
      </c>
      <c r="F13" s="298">
        <v>2</v>
      </c>
      <c r="G13" s="96" t="s">
        <v>212</v>
      </c>
      <c r="H13" s="96" t="s">
        <v>191</v>
      </c>
      <c r="I13" s="111">
        <v>1407</v>
      </c>
      <c r="J13" s="115" t="s">
        <v>177</v>
      </c>
      <c r="K13" t="s">
        <v>226</v>
      </c>
    </row>
    <row r="14" spans="1:11" ht="26.4" x14ac:dyDescent="0.3">
      <c r="A14" s="99" t="s">
        <v>213</v>
      </c>
      <c r="B14" s="96" t="s">
        <v>187</v>
      </c>
      <c r="C14" s="96" t="s">
        <v>198</v>
      </c>
      <c r="D14" s="97">
        <v>15929</v>
      </c>
      <c r="E14" s="96" t="s">
        <v>211</v>
      </c>
      <c r="F14" s="298"/>
      <c r="G14" s="96" t="s">
        <v>212</v>
      </c>
      <c r="H14" s="96" t="s">
        <v>191</v>
      </c>
      <c r="I14" s="111">
        <v>1407</v>
      </c>
      <c r="J14" s="115" t="s">
        <v>177</v>
      </c>
      <c r="K14" t="s">
        <v>226</v>
      </c>
    </row>
    <row r="15" spans="1:11" ht="26.4" x14ac:dyDescent="0.3">
      <c r="A15" s="99" t="s">
        <v>214</v>
      </c>
      <c r="B15" s="96" t="s">
        <v>187</v>
      </c>
      <c r="C15" s="96" t="s">
        <v>215</v>
      </c>
      <c r="D15" s="97">
        <v>19634</v>
      </c>
      <c r="E15" s="96" t="s">
        <v>216</v>
      </c>
      <c r="F15" s="299">
        <v>3</v>
      </c>
      <c r="G15" s="96" t="s">
        <v>217</v>
      </c>
      <c r="H15" s="96" t="s">
        <v>191</v>
      </c>
      <c r="I15" s="111">
        <v>1647</v>
      </c>
      <c r="J15" s="115" t="s">
        <v>176</v>
      </c>
      <c r="K15" t="s">
        <v>225</v>
      </c>
    </row>
    <row r="16" spans="1:11" ht="26.4" x14ac:dyDescent="0.3">
      <c r="A16" s="99" t="s">
        <v>218</v>
      </c>
      <c r="B16" s="96" t="s">
        <v>201</v>
      </c>
      <c r="C16" s="96" t="s">
        <v>219</v>
      </c>
      <c r="D16" s="97">
        <v>19002</v>
      </c>
      <c r="E16" s="96" t="s">
        <v>216</v>
      </c>
      <c r="F16" s="299"/>
      <c r="G16" s="96" t="s">
        <v>217</v>
      </c>
      <c r="H16" s="96" t="s">
        <v>191</v>
      </c>
      <c r="I16" s="111">
        <v>1647</v>
      </c>
      <c r="J16" s="115" t="s">
        <v>176</v>
      </c>
      <c r="K16" t="s">
        <v>225</v>
      </c>
    </row>
    <row r="17" spans="1:11" ht="27" thickBot="1" x14ac:dyDescent="0.35">
      <c r="A17" s="100" t="s">
        <v>220</v>
      </c>
      <c r="B17" s="101" t="s">
        <v>187</v>
      </c>
      <c r="C17" s="101" t="s">
        <v>221</v>
      </c>
      <c r="D17" s="102">
        <v>17565</v>
      </c>
      <c r="E17" s="101" t="s">
        <v>216</v>
      </c>
      <c r="F17" s="300"/>
      <c r="G17" s="101" t="s">
        <v>217</v>
      </c>
      <c r="H17" s="101" t="s">
        <v>191</v>
      </c>
      <c r="I17" s="112">
        <v>1647</v>
      </c>
      <c r="J17" s="116" t="s">
        <v>176</v>
      </c>
      <c r="K17" t="s">
        <v>225</v>
      </c>
    </row>
  </sheetData>
  <mergeCells count="3">
    <mergeCell ref="F2:F11"/>
    <mergeCell ref="F13:F14"/>
    <mergeCell ref="F15:F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CNPJ 2</vt:lpstr>
      <vt:lpstr>CNPJ</vt:lpstr>
      <vt:lpstr>ORÇAMENTO PARTICULAR (2)</vt:lpstr>
      <vt:lpstr>ORÇAMENTO PARTICULAR</vt:lpstr>
      <vt:lpstr>IDA VOLTA PF</vt:lpstr>
      <vt:lpstr>CNPJ IDA E VOLTA</vt:lpstr>
      <vt:lpstr>Planilha2</vt:lpstr>
      <vt:lpstr>CNPJ!Area_de_impressao</vt:lpstr>
      <vt:lpstr>'CNPJ 2'!Area_de_impressao</vt:lpstr>
      <vt:lpstr>'CNPJ IDA E VOLTA'!Area_de_impressao</vt:lpstr>
      <vt:lpstr>'IDA VOLTA PF'!Area_de_impressao</vt:lpstr>
      <vt:lpstr>'ORÇAMENTO PARTICULAR'!Area_de_impressao</vt:lpstr>
      <vt:lpstr>'ORÇAMENTO PARTICULAR (2)'!Area_de_impressao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Gustavo</dc:creator>
  <cp:keywords/>
  <dc:description/>
  <cp:lastModifiedBy>Luiz Gustavo OBS Transportes</cp:lastModifiedBy>
  <cp:revision/>
  <cp:lastPrinted>2026-07-09T20:59:09Z</cp:lastPrinted>
  <dcterms:created xsi:type="dcterms:W3CDTF">2015-06-05T18:19:34Z</dcterms:created>
  <dcterms:modified xsi:type="dcterms:W3CDTF">2026-07-10T12:27:05Z</dcterms:modified>
  <cp:category/>
  <cp:contentStatus/>
</cp:coreProperties>
</file>