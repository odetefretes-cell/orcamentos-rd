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ORÇAMENTO PARTICULAR" sheetId="1" state="visible" r:id="rId1"/>
  </sheets>
  <definedNames>
    <definedName name="_xlnm.Print_Area" localSheetId="0">'ORÇAMENTO PARTICULAR'!$A$1:$I$61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38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18" fontId="6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70" applyProtection="1" pivotButton="0" quotePrefix="0" xfId="0"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7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165" fontId="6" fillId="3" borderId="0" applyAlignment="1" applyProtection="1" pivotButton="0" quotePrefix="0" xfId="1">
      <alignment horizontal="center" vertical="center"/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view="pageBreakPreview" topLeftCell="A16" zoomScaleNormal="100" zoomScaleSheetLayoutView="100" workbookViewId="0">
      <selection activeCell="A1" sqref="A1:I61"/>
    </sheetView>
  </sheetViews>
  <sheetFormatPr baseColWidth="8" defaultColWidth="11.6640625" defaultRowHeight="13.2"/>
  <cols>
    <col width="11.6640625" customWidth="1" style="1" min="1" max="1"/>
    <col width="11.6640625" customWidth="1" style="1" min="2" max="3"/>
    <col width="10.88671875" customWidth="1" style="1" min="4" max="4"/>
    <col width="13.664062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5546875" customWidth="1" style="1" min="12" max="12"/>
    <col width="21.109375" bestFit="1" customWidth="1" style="1" min="13" max="13"/>
    <col width="13.44140625" bestFit="1" customWidth="1" style="1" min="14" max="14"/>
    <col width="9.88671875" bestFit="1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39"/>
    <col width="5.5546875" customWidth="1" style="1" min="40" max="40"/>
    <col width="5.44140625" bestFit="1" customWidth="1" style="1" min="41" max="44"/>
    <col width="11.6640625" customWidth="1" style="1" min="45" max="16384"/>
  </cols>
  <sheetData>
    <row r="1" ht="13.8" customHeight="1" thickBot="1"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inlineStr">
        <is>
          <t>Item</t>
        </is>
      </c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>
      <c r="B3" s="182" t="inlineStr">
        <is>
          <t>ORÇAMENTO</t>
        </is>
      </c>
      <c r="C3" s="304" t="n"/>
      <c r="D3" s="304" t="n"/>
      <c r="E3" s="304" t="n"/>
      <c r="J3" s="2" t="n"/>
      <c r="K3" s="305" t="n">
        <v>1</v>
      </c>
      <c r="L3" s="306" t="n">
        <v>0.0025</v>
      </c>
      <c r="M3" s="307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304" t="n"/>
      <c r="C4" s="304" t="n"/>
      <c r="D4" s="304" t="n"/>
      <c r="E4" s="304" t="n"/>
      <c r="J4" s="2" t="n"/>
      <c r="K4" s="308" t="n"/>
      <c r="L4" s="309" t="n"/>
      <c r="M4" s="310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304" t="n"/>
      <c r="C5" s="304" t="n"/>
      <c r="D5" s="304" t="n"/>
      <c r="E5" s="304" t="n"/>
      <c r="J5" s="2" t="n"/>
      <c r="K5" s="2" t="n"/>
      <c r="L5" s="15" t="n"/>
      <c r="M5" s="311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3.8" customHeight="1" thickBot="1">
      <c r="J6" s="312" t="inlineStr">
        <is>
          <t xml:space="preserve">ITEM 1 </t>
        </is>
      </c>
      <c r="K6" s="313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>
      <c r="J7" s="51" t="inlineStr">
        <is>
          <t>CARRETA 1</t>
        </is>
      </c>
      <c r="K7" s="314" t="n"/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>
      <c r="J8" s="53" t="inlineStr">
        <is>
          <t>CARRETA 2</t>
        </is>
      </c>
      <c r="K8" s="315" t="n"/>
      <c r="L8" s="20" t="n"/>
      <c r="M8" s="21" t="inlineStr">
        <is>
          <t>TOTAL DE DESPESAS</t>
        </is>
      </c>
      <c r="N8" s="3" t="n"/>
      <c r="O8" s="316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7">
        <f>TODAY()</f>
        <v/>
      </c>
      <c r="D9" s="304" t="n"/>
      <c r="E9" s="304" t="n"/>
      <c r="F9" s="304" t="n"/>
      <c r="G9" s="304" t="n"/>
      <c r="J9" s="53" t="inlineStr">
        <is>
          <t>CARRETA 3</t>
        </is>
      </c>
      <c r="K9" s="318" t="n"/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>
      <c r="A10" t="inlineStr">
        <is>
          <t>Cliente: Marcos Fernando   |   Tel: 87996073618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53" t="inlineStr">
        <is>
          <t>ENTREGA</t>
        </is>
      </c>
      <c r="K11" s="315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M3</f>
        <v/>
      </c>
      <c r="L12" s="2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G13" s="1" t="inlineStr">
        <is>
          <t> </t>
        </is>
      </c>
      <c r="J13" s="51" t="inlineStr">
        <is>
          <t>CTE 1</t>
        </is>
      </c>
      <c r="K13" s="323">
        <f>M22*0.12</f>
        <v/>
      </c>
      <c r="L13" s="324" t="n"/>
      <c r="M13" s="325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6">
        <f>(M22+K10+K11)*0.12</f>
        <v/>
      </c>
      <c r="L14" s="327" t="n"/>
      <c r="M14" s="328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29" t="n"/>
      <c r="L15" s="330" t="n"/>
      <c r="M15" s="331" t="n"/>
      <c r="N15" s="331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218" t="inlineStr">
        <is>
          <t>Marca / Modelo</t>
        </is>
      </c>
      <c r="C16" s="332" t="n"/>
      <c r="D16" s="332" t="n"/>
      <c r="E16" s="332" t="n"/>
      <c r="F16" s="220" t="inlineStr">
        <is>
          <t>Valor da fipe</t>
        </is>
      </c>
      <c r="G16" s="333" t="n"/>
      <c r="H16" s="334" t="inlineStr">
        <is>
          <t>Observações</t>
        </is>
      </c>
      <c r="I16" s="325" t="n"/>
      <c r="J16" s="60" t="n"/>
      <c r="K16" s="335" t="n"/>
      <c r="L16" s="62" t="n"/>
      <c r="M16" s="336" t="n"/>
      <c r="N16" s="337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38" t="n">
        <v>1</v>
      </c>
      <c r="B17" s="339" t="inlineStr">
        <is>
          <t>Sahara 300</t>
        </is>
      </c>
      <c r="C17" s="332" t="n"/>
      <c r="D17" s="332" t="n"/>
      <c r="E17" s="333" t="n"/>
      <c r="F17" s="340" t="n"/>
      <c r="G17" s="333" t="n"/>
      <c r="H17" s="341" t="inlineStr">
        <is>
          <t>FUNCIONA  |  Envio: Amanhã</t>
        </is>
      </c>
      <c r="I17" s="325" t="n"/>
      <c r="J17" s="60" t="n"/>
      <c r="K17" s="342" t="n"/>
      <c r="L17" s="337" t="n"/>
      <c r="M17" s="331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39" customHeight="1" thickBot="1">
      <c r="A18" s="343" t="n"/>
      <c r="B18" s="344" t="n"/>
      <c r="C18" s="345" t="n"/>
      <c r="D18" s="345" t="n"/>
      <c r="E18" s="346" t="n"/>
      <c r="F18" s="344" t="n"/>
      <c r="G18" s="346" t="n"/>
      <c r="H18" s="344" t="n"/>
      <c r="I18" s="328" t="n"/>
      <c r="J18" s="60" t="n"/>
      <c r="K18" s="342">
        <f>8000/1274</f>
        <v/>
      </c>
      <c r="L18" s="337" t="n"/>
      <c r="M18" s="331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J19" s="60" t="n"/>
      <c r="K19" s="342" t="n"/>
      <c r="L19" s="337" t="n"/>
      <c r="M19" s="331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60" t="n"/>
      <c r="K20" s="347" t="n"/>
      <c r="L20" s="64" t="n"/>
      <c r="M20" s="348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5.75" customHeight="1" thickBot="1">
      <c r="A21" s="151" t="inlineStr">
        <is>
          <t>(Nesta modalidade o veiculo deve ser entregue a transportadora nos locais de carregamento e descarregamento)</t>
        </is>
      </c>
      <c r="B21" s="345" t="n"/>
      <c r="C21" s="345" t="n"/>
      <c r="D21" s="345" t="n"/>
      <c r="E21" s="345" t="n"/>
      <c r="F21" s="345" t="n"/>
      <c r="G21" s="345" t="n"/>
      <c r="H21" s="345" t="n"/>
      <c r="I21" s="345" t="n"/>
      <c r="J21" s="60" t="n"/>
      <c r="K21" s="347" t="n"/>
      <c r="L21" s="64" t="n"/>
      <c r="M21" s="316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49" t="inlineStr">
        <is>
          <t>Origem</t>
        </is>
      </c>
      <c r="C22" s="332" t="n"/>
      <c r="D22" s="333" t="n"/>
      <c r="E22" s="349" t="inlineStr">
        <is>
          <t>Destino</t>
        </is>
      </c>
      <c r="F22" s="332" t="n"/>
      <c r="G22" s="333" t="n"/>
      <c r="H22" s="334" t="inlineStr">
        <is>
          <t>Prazo após Embarque</t>
        </is>
      </c>
      <c r="I22" s="325" t="n"/>
      <c r="J22" s="75" t="inlineStr">
        <is>
          <t>ITEM 1:</t>
        </is>
      </c>
      <c r="K22" s="184" t="inlineStr">
        <is>
          <t>VALOR FRETE S/  SEGURO E CTE</t>
        </is>
      </c>
      <c r="L22" s="350" t="n"/>
      <c r="M22" s="351">
        <f>K7+K8+K9+N22</f>
        <v/>
      </c>
      <c r="N22" s="352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38" t="n">
        <v>1</v>
      </c>
      <c r="B23" s="339" t="inlineStr">
        <is>
          <t xml:space="preserve">Ferraz de Vasconcelos </t>
        </is>
      </c>
      <c r="C23" s="332" t="n"/>
      <c r="D23" s="333" t="n"/>
      <c r="E23" s="339" t="inlineStr">
        <is>
          <t xml:space="preserve">Arceburgo mg </t>
        </is>
      </c>
      <c r="F23" s="332" t="n"/>
      <c r="G23" s="333" t="n"/>
      <c r="H23" s="353" t="n"/>
      <c r="I23" s="325" t="n"/>
      <c r="K23" s="195" t="n"/>
      <c r="L23" s="303" t="n"/>
      <c r="M23" s="316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8.95" customHeight="1" thickBot="1">
      <c r="A24" s="343" t="n"/>
      <c r="B24" s="344" t="n"/>
      <c r="C24" s="345" t="n"/>
      <c r="D24" s="346" t="n"/>
      <c r="E24" s="344" t="n"/>
      <c r="F24" s="345" t="n"/>
      <c r="G24" s="346" t="n"/>
      <c r="H24" s="344" t="n"/>
      <c r="I24" s="328" t="n"/>
      <c r="L24" s="64" t="n">
        <v>0</v>
      </c>
      <c r="M24" s="316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J25" s="27" t="n"/>
      <c r="K25" s="195" t="n">
        <v>0</v>
      </c>
      <c r="L25" s="303" t="n"/>
      <c r="M25" s="354" t="n"/>
      <c r="N25" s="355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56">
        <f>M22</f>
        <v/>
      </c>
      <c r="F26" s="357" t="n"/>
      <c r="G26" s="358" t="n"/>
      <c r="H26" s="78" t="n"/>
      <c r="I26" s="78" t="n"/>
      <c r="L26" s="28" t="n">
        <v>0</v>
      </c>
      <c r="M26" s="331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59">
        <f>K12</f>
        <v/>
      </c>
      <c r="F27" s="360" t="n"/>
      <c r="G27" s="361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2" t="n">
        <v>0</v>
      </c>
      <c r="F28" s="363" t="n"/>
      <c r="G28" s="364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285" t="inlineStr">
        <is>
          <t>Total base a base:</t>
        </is>
      </c>
      <c r="D29" s="365" t="n"/>
      <c r="E29" s="366">
        <f>SUM(E26:G28)</f>
        <v/>
      </c>
      <c r="F29" s="367" t="n"/>
      <c r="G29" s="368" t="n"/>
      <c r="H29" s="80" t="n"/>
      <c r="I29" s="80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69" t="n"/>
      <c r="D30" s="370" t="n"/>
      <c r="E30" s="371" t="n"/>
      <c r="F30" s="372" t="n"/>
      <c r="G30" s="37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 ht="18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inlineStr">
        <is>
          <t xml:space="preserve">2 - TRANSPORTE PORTA A PORTA                                                                                                                           </t>
        </is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60" t="n"/>
      <c r="K32" s="347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(confirmar end))</t>
        </is>
      </c>
      <c r="B33" s="345" t="n"/>
      <c r="C33" s="345" t="n"/>
      <c r="D33" s="345" t="n"/>
      <c r="E33" s="345" t="n"/>
      <c r="F33" s="345" t="n"/>
      <c r="G33" s="345" t="n"/>
      <c r="H33" s="345" t="n"/>
      <c r="I33" s="345" t="n"/>
      <c r="L33" s="74" t="inlineStr">
        <is>
          <t>TAXA BASE A BASE</t>
        </is>
      </c>
      <c r="M33" s="348">
        <f>E29*M32</f>
        <v/>
      </c>
      <c r="N33" s="348">
        <f>N22-M33</f>
        <v/>
      </c>
    </row>
    <row r="34" ht="13.8" customHeight="1" thickBot="1">
      <c r="A34" s="88" t="inlineStr">
        <is>
          <t>Item</t>
        </is>
      </c>
      <c r="B34" s="374" t="inlineStr">
        <is>
          <t>Descrição</t>
        </is>
      </c>
      <c r="C34" s="375" t="n"/>
      <c r="D34" s="376" t="n"/>
      <c r="E34" s="374" t="inlineStr">
        <is>
          <t>Local:</t>
        </is>
      </c>
      <c r="F34" s="375" t="n"/>
      <c r="G34" s="376" t="n"/>
      <c r="H34" s="377" t="inlineStr">
        <is>
          <t>Valor</t>
        </is>
      </c>
      <c r="I34" s="378" t="n"/>
      <c r="L34" s="28" t="inlineStr">
        <is>
          <t>TAXA PORTA A PORTA</t>
        </is>
      </c>
      <c r="M34" s="348">
        <f>E38*M32</f>
        <v/>
      </c>
      <c r="N34" s="348">
        <f>N22-M34</f>
        <v/>
      </c>
    </row>
    <row r="35" ht="12.6" customHeight="1">
      <c r="A35" s="39" t="n">
        <v>1</v>
      </c>
      <c r="B35" s="278" t="inlineStr">
        <is>
          <t>COLETA NO ENDEREÇO</t>
        </is>
      </c>
      <c r="C35" s="379" t="n"/>
      <c r="D35" s="380" t="n"/>
      <c r="E35" s="278" t="inlineStr">
        <is>
          <t>NATAL RN (CONF END)</t>
        </is>
      </c>
      <c r="F35" s="379" t="n"/>
      <c r="G35" s="380" t="n"/>
      <c r="H35" s="381">
        <f>K10</f>
        <v/>
      </c>
      <c r="I35" s="380" t="n"/>
      <c r="L35" s="28" t="n"/>
      <c r="M35" s="348" t="n"/>
      <c r="N35" s="348" t="n"/>
    </row>
    <row r="36" ht="13.5" customHeight="1" thickBot="1">
      <c r="A36" s="40" t="n">
        <v>1</v>
      </c>
      <c r="B36" s="222" t="inlineStr">
        <is>
          <t>ENTREGA NO ENDEREÇO</t>
        </is>
      </c>
      <c r="C36" s="382" t="n"/>
      <c r="D36" s="383" t="n"/>
      <c r="E36" s="222" t="inlineStr">
        <is>
          <t>INDISPONIVEL</t>
        </is>
      </c>
      <c r="F36" s="382" t="n"/>
      <c r="G36" s="383" t="n"/>
      <c r="H36" s="384">
        <f>K11</f>
        <v/>
      </c>
      <c r="I36" s="383" t="n"/>
      <c r="L36" s="28" t="n"/>
      <c r="M36" s="348" t="n"/>
      <c r="N36" s="348" t="n"/>
    </row>
    <row r="37" ht="13.8" customHeight="1" thickBot="1">
      <c r="A37" s="77" t="n"/>
      <c r="B37" s="77" t="n"/>
      <c r="C37" s="385" t="n"/>
      <c r="D37" s="303" t="n"/>
      <c r="E37" s="386" t="n"/>
      <c r="F37" s="150" t="n"/>
      <c r="G37" s="303" t="n"/>
      <c r="H37" s="385" t="n"/>
      <c r="I37" s="303" t="n"/>
      <c r="J37" s="387" t="n"/>
      <c r="K37" s="387" t="n"/>
    </row>
    <row r="38" ht="15" customHeight="1">
      <c r="A38" s="229" t="n"/>
      <c r="B38" s="303" t="n"/>
      <c r="C38" s="268" t="inlineStr">
        <is>
          <t>Total com coleta e entrega:</t>
        </is>
      </c>
      <c r="D38" s="365" t="n"/>
      <c r="E38" s="366">
        <f>E29+K10+K11</f>
        <v/>
      </c>
      <c r="F38" s="367" t="n"/>
      <c r="G38" s="368" t="n"/>
      <c r="H38" s="388" t="n"/>
      <c r="I38" s="303" t="n"/>
      <c r="M38" s="41" t="n"/>
      <c r="N38" s="4" t="n"/>
    </row>
    <row r="39" ht="15.75" customHeight="1" thickBot="1">
      <c r="A39" s="303" t="n"/>
      <c r="B39" s="303" t="n"/>
      <c r="C39" s="369" t="n"/>
      <c r="D39" s="370" t="n"/>
      <c r="E39" s="371" t="n"/>
      <c r="F39" s="372" t="n"/>
      <c r="G39" s="373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04" t="n"/>
      <c r="C41" s="304" t="n"/>
      <c r="D41" s="304" t="n"/>
      <c r="E41" s="304" t="n"/>
      <c r="F41" s="304" t="n"/>
      <c r="G41" s="304" t="n"/>
      <c r="H41" s="304" t="n"/>
      <c r="I41" s="304" t="n"/>
      <c r="L41" s="28" t="n"/>
      <c r="M41" s="348" t="n"/>
      <c r="N41" s="348" t="n"/>
    </row>
    <row r="42" ht="13.8" customHeight="1">
      <c r="A42" s="225" t="inlineStr">
        <is>
          <t>Transferencia, Pix ou Deposito em conta 50% na contratação e 50% no destino para liberação.</t>
        </is>
      </c>
      <c r="B42" s="304" t="n"/>
      <c r="C42" s="304" t="n"/>
      <c r="D42" s="304" t="n"/>
      <c r="E42" s="304" t="n"/>
      <c r="F42" s="304" t="n"/>
      <c r="G42" s="304" t="n"/>
      <c r="H42" s="304" t="n"/>
      <c r="I42" s="304" t="n"/>
      <c r="K42" s="28" t="n"/>
      <c r="L42" s="331" t="n"/>
      <c r="M42" s="30" t="n"/>
    </row>
    <row r="43" ht="15.75" customHeight="1">
      <c r="A43" s="225" t="inlineStr">
        <is>
          <t>Cartão de credito em até 12X (com acréscimo) via link de pagamento online.</t>
        </is>
      </c>
      <c r="B43" s="304" t="n"/>
      <c r="C43" s="304" t="n"/>
      <c r="D43" s="304" t="n"/>
      <c r="E43" s="304" t="n"/>
      <c r="F43" s="304" t="n"/>
      <c r="G43" s="304" t="n"/>
      <c r="H43" s="304" t="n"/>
      <c r="I43" s="304" t="n"/>
      <c r="K43" s="28" t="n"/>
      <c r="L43" s="331" t="n"/>
      <c r="M43" s="331" t="n"/>
    </row>
    <row r="44" ht="4.5" customHeight="1">
      <c r="K44" s="28" t="n"/>
      <c r="L44" s="348" t="n"/>
      <c r="M44" s="348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>
      <c r="H53" s="1" t="inlineStr">
        <is>
          <t> </t>
        </is>
      </c>
    </row>
    <row r="54">
      <c r="A54" s="227" t="inlineStr">
        <is>
          <t>"Caso possua orçamento menor nos envie para analise e possivel desconto"</t>
        </is>
      </c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04" t="n"/>
      <c r="H61" s="304" t="n"/>
      <c r="I61" s="304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58">
    <mergeCell ref="H17:I18"/>
    <mergeCell ref="H35:I35"/>
    <mergeCell ref="E28:G28"/>
    <mergeCell ref="Q1:AR1"/>
    <mergeCell ref="K25:L25"/>
    <mergeCell ref="A41:I41"/>
    <mergeCell ref="F16:G16"/>
    <mergeCell ref="L3:L4"/>
    <mergeCell ref="F61:I61"/>
    <mergeCell ref="E34:G34"/>
    <mergeCell ref="B17:E18"/>
    <mergeCell ref="A21:I21"/>
    <mergeCell ref="B34:D34"/>
    <mergeCell ref="H34:I34"/>
    <mergeCell ref="A33:I33"/>
    <mergeCell ref="E36:G36"/>
    <mergeCell ref="J6:K6"/>
    <mergeCell ref="E27:G27"/>
    <mergeCell ref="A32:I32"/>
    <mergeCell ref="A42:I42"/>
    <mergeCell ref="M3:M4"/>
    <mergeCell ref="B16:E16"/>
    <mergeCell ref="E26:G26"/>
    <mergeCell ref="H36:I36"/>
    <mergeCell ref="A38:B39"/>
    <mergeCell ref="K22:L22"/>
    <mergeCell ref="B3:E5"/>
    <mergeCell ref="C9:G9"/>
    <mergeCell ref="A20:I20"/>
    <mergeCell ref="E29:G30"/>
    <mergeCell ref="C38:D39"/>
    <mergeCell ref="E23:G24"/>
    <mergeCell ref="A52:I52"/>
    <mergeCell ref="A43:I43"/>
    <mergeCell ref="B36:D36"/>
    <mergeCell ref="E22:G22"/>
    <mergeCell ref="H16:I16"/>
    <mergeCell ref="A17:A18"/>
    <mergeCell ref="B23:D24"/>
    <mergeCell ref="B35:D35"/>
    <mergeCell ref="H23:I24"/>
    <mergeCell ref="A23:A24"/>
    <mergeCell ref="E38:G39"/>
    <mergeCell ref="H37:I37"/>
    <mergeCell ref="K23:L23"/>
    <mergeCell ref="H22:I22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1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2026-07-10T14:18:33Z</dcterms:modified>
  <cp:lastModifiedBy>Luiz Gustavo OBS Transportes</cp:lastModifiedBy>
  <cp:lastPrinted>2026-07-09T20:59:09Z</cp:lastPrinted>
</cp:coreProperties>
</file>