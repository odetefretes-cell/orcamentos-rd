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389" firstSheet="0" activeTab="0" autoFilterDateGrouping="1"/>
  </bookViews>
  <sheets>
    <sheet name="ORÇAMENTO PARTICULAR" sheetId="1" state="visible" r:id="rId1"/>
  </sheets>
  <definedNames>
    <definedName name="_xlnm.Print_Area" localSheetId="0">'ORÇAMENTO PARTICULAR'!$A$1:$I$61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R$ &quot;#,##0.00;[Red]&quot;R$ &quot;#,##0.00"/>
    <numFmt numFmtId="165" formatCode="_-&quot;R$&quot;\ * #,##0.00_-;\-&quot;R$&quot;\ * #,##0.00_-;_-&quot;R$&quot;\ * &quot;-&quot;??_-;_-@_-"/>
    <numFmt numFmtId="166" formatCode="&quot;R$&quot;\ #,##0.00;[Red]\-&quot;R$&quot;\ #,##0.00"/>
    <numFmt numFmtId="167" formatCode="[$-F800]dddd\,\ mmmm\ dd\,\ yyyy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FF"/>
      <sz val="10"/>
    </font>
    <font>
      <name val="Arial"/>
      <family val="2"/>
      <sz val="10"/>
    </font>
    <font>
      <name val="Arial"/>
      <family val="2"/>
      <b val="1"/>
      <color theme="1"/>
      <sz val="11"/>
    </font>
    <font>
      <name val="Arial"/>
      <family val="2"/>
      <b val="1"/>
      <i val="1"/>
      <color rgb="FFFF000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0"/>
      <sz val="10"/>
      <u val="single"/>
    </font>
    <font>
      <name val="Arial"/>
      <family val="2"/>
      <color theme="1"/>
      <sz val="8"/>
    </font>
    <font>
      <name val="Arial"/>
      <family val="2"/>
      <b val="1"/>
      <color theme="1"/>
      <sz val="14"/>
    </font>
    <font>
      <name val="Arial"/>
      <family val="2"/>
      <b val="1"/>
      <color rgb="FF0000FF"/>
      <sz val="9"/>
    </font>
    <font>
      <name val="Arial"/>
      <family val="2"/>
      <b val="1"/>
      <color theme="1"/>
      <sz val="9"/>
    </font>
    <font>
      <name val="Segoe UI"/>
      <family val="2"/>
      <color rgb="FF212529"/>
      <sz val="9"/>
    </font>
    <font>
      <name val="Arial"/>
      <family val="2"/>
      <b val="1"/>
      <color rgb="FF000000"/>
      <sz val="10"/>
    </font>
    <font>
      <name val="Montserrat"/>
      <b val="1"/>
      <color rgb="FF000000"/>
      <sz val="9"/>
    </font>
    <font>
      <name val="Arial"/>
      <family val="2"/>
      <color rgb="FF000000"/>
      <sz val="10"/>
    </font>
    <font>
      <name val="Aptos"/>
      <family val="2"/>
      <color theme="1"/>
      <sz val="12"/>
    </font>
    <font>
      <name val="Arial"/>
      <family val="2"/>
      <color theme="1"/>
      <sz val="11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0" fontId="10" fillId="0" borderId="0"/>
  </cellStyleXfs>
  <cellXfs count="389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2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horizontal="left"/>
      <protection locked="0" hidden="0"/>
    </xf>
    <xf numFmtId="0" fontId="3" fillId="3" borderId="0" applyProtection="1" pivotButton="0" quotePrefix="0" xfId="0">
      <protection locked="0" hidden="0"/>
    </xf>
    <xf numFmtId="10" fontId="3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1" hidden="1"/>
    </xf>
    <xf numFmtId="0" fontId="3" fillId="2" borderId="3" applyAlignment="1" applyProtection="1" pivotButton="0" quotePrefix="0" xfId="0">
      <alignment horizontal="center" vertical="center"/>
      <protection locked="1" hidden="1"/>
    </xf>
    <xf numFmtId="164" fontId="3" fillId="3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vertical="center"/>
      <protection locked="0" hidden="0"/>
    </xf>
    <xf numFmtId="0" fontId="3" fillId="5" borderId="0" applyAlignment="1" applyProtection="1" pivotButton="0" quotePrefix="0" xfId="0">
      <alignment vertical="center"/>
      <protection locked="1" hidden="1"/>
    </xf>
    <xf numFmtId="0" fontId="4" fillId="5" borderId="0" applyAlignment="1" applyProtection="1" pivotButton="0" quotePrefix="0" xfId="0">
      <alignment vertical="center"/>
      <protection locked="1" hidden="1"/>
    </xf>
    <xf numFmtId="0" fontId="3" fillId="6" borderId="0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4" fillId="7" borderId="0" applyProtection="1" pivotButton="0" quotePrefix="0" xfId="0">
      <protection locked="1" hidden="1"/>
    </xf>
    <xf numFmtId="10" fontId="3" fillId="2" borderId="0" applyAlignment="1" applyProtection="1" pivotButton="0" quotePrefix="0" xfId="0">
      <alignment horizontal="center"/>
      <protection locked="0" hidden="0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10" fontId="3" fillId="2" borderId="0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3" borderId="0" applyProtection="1" pivotButton="0" quotePrefix="1" xfId="0">
      <protection locked="0" hidden="0"/>
    </xf>
    <xf numFmtId="0" fontId="3" fillId="2" borderId="0" applyAlignment="1" applyProtection="1" pivotButton="0" quotePrefix="0" xfId="0">
      <alignment horizontal="left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165" fontId="3" fillId="3" borderId="0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0" fontId="3" fillId="3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10" fontId="3" fillId="3" borderId="0" applyAlignment="1" applyProtection="1" pivotButton="0" quotePrefix="0" xfId="2">
      <alignment horizontal="center"/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5" fillId="0" borderId="12" applyAlignment="1" applyProtection="1" pivotButton="0" quotePrefix="0" xfId="0">
      <alignment horizontal="center"/>
      <protection locked="0" hidden="0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3" fillId="3" borderId="19" applyAlignment="1" applyProtection="1" pivotButton="0" quotePrefix="0" xfId="0">
      <alignment horizontal="center"/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0" fontId="4" fillId="6" borderId="0" applyProtection="1" pivotButton="0" quotePrefix="0" xfId="0">
      <protection locked="1" hidden="1"/>
    </xf>
    <xf numFmtId="0" fontId="6" fillId="0" borderId="4" applyAlignment="1" applyProtection="1" pivotButton="0" quotePrefix="1" xfId="0">
      <alignment horizontal="center"/>
      <protection locked="0" hidden="0"/>
    </xf>
    <xf numFmtId="0" fontId="6" fillId="0" borderId="6" applyAlignment="1" applyProtection="1" pivotButton="0" quotePrefix="1" xfId="0">
      <alignment horizontal="center"/>
      <protection locked="0" hidden="0"/>
    </xf>
    <xf numFmtId="0" fontId="3" fillId="3" borderId="0" applyAlignment="1" applyProtection="1" pivotButton="0" quotePrefix="0" xfId="0">
      <alignment horizontal="center"/>
      <protection locked="0" hidden="0"/>
    </xf>
    <xf numFmtId="165" fontId="2" fillId="0" borderId="0" applyProtection="1" pivotButton="0" quotePrefix="0" xfId="0">
      <protection locked="0" hidden="0"/>
    </xf>
    <xf numFmtId="0" fontId="5" fillId="0" borderId="15" applyAlignment="1" applyProtection="1" pivotButton="0" quotePrefix="0" xfId="0">
      <alignment horizontal="left"/>
      <protection locked="1" hidden="1"/>
    </xf>
    <xf numFmtId="0" fontId="5" fillId="0" borderId="22" applyAlignment="1" applyProtection="1" pivotButton="0" quotePrefix="0" xfId="0">
      <alignment horizontal="left"/>
      <protection locked="1" hidden="1"/>
    </xf>
    <xf numFmtId="0" fontId="2" fillId="3" borderId="0" applyProtection="1" pivotButton="0" quotePrefix="0" xfId="0">
      <protection locked="0" hidden="0"/>
    </xf>
    <xf numFmtId="0" fontId="2" fillId="0" borderId="0" applyProtection="1" pivotButton="0" quotePrefix="1" xfId="0">
      <protection locked="0" hidden="0"/>
    </xf>
    <xf numFmtId="0" fontId="9" fillId="0" borderId="0" applyProtection="1" pivotButton="0" quotePrefix="0" xfId="0">
      <protection locked="0" hidden="0"/>
    </xf>
    <xf numFmtId="0" fontId="3" fillId="0" borderId="0" applyProtection="1" pivotButton="0" quotePrefix="0" xfId="3">
      <protection locked="0" hidden="0"/>
    </xf>
    <xf numFmtId="0" fontId="11" fillId="0" borderId="0" applyProtection="1" pivotButton="0" quotePrefix="0" xfId="3">
      <protection locked="0" hidden="0"/>
    </xf>
    <xf numFmtId="0" fontId="3" fillId="7" borderId="0" applyProtection="1" pivotButton="0" quotePrefix="0" xfId="0">
      <protection locked="1" hidden="1"/>
    </xf>
    <xf numFmtId="0" fontId="5" fillId="2" borderId="4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0" fontId="5" fillId="2" borderId="15" applyProtection="1" pivotButton="0" quotePrefix="0" xfId="0">
      <protection locked="1" hidden="1"/>
    </xf>
    <xf numFmtId="165" fontId="2" fillId="2" borderId="16" applyProtection="1" pivotButton="0" quotePrefix="0" xfId="1">
      <protection locked="0" hidden="0"/>
    </xf>
    <xf numFmtId="165" fontId="2" fillId="2" borderId="16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0" fontId="5" fillId="2" borderId="6" applyProtection="1" pivotButton="0" quotePrefix="0" xfId="0">
      <protection locked="1" hidden="1"/>
    </xf>
    <xf numFmtId="165" fontId="2" fillId="2" borderId="8" applyAlignment="1" applyProtection="1" pivotButton="0" quotePrefix="0" xfId="0">
      <alignment horizontal="center"/>
      <protection locked="1" hidden="1"/>
    </xf>
    <xf numFmtId="0" fontId="5" fillId="2" borderId="17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165" fontId="7" fillId="3" borderId="0" applyProtection="1" pivotButton="0" quotePrefix="0" xfId="0">
      <protection locked="1" hidden="1"/>
    </xf>
    <xf numFmtId="10" fontId="3" fillId="3" borderId="0" applyProtection="1" pivotButton="0" quotePrefix="0" xfId="0">
      <protection locked="1" hidden="1"/>
    </xf>
    <xf numFmtId="165" fontId="2" fillId="0" borderId="0" applyProtection="1" pivotButton="0" quotePrefix="0" xfId="0">
      <protection locked="1" hidden="1"/>
    </xf>
    <xf numFmtId="10" fontId="3" fillId="3" borderId="0" applyProtection="1" pivotButton="0" quotePrefix="0" xfId="0">
      <protection locked="0" hidden="0"/>
    </xf>
    <xf numFmtId="165" fontId="3" fillId="8" borderId="3" applyProtection="1" pivotButton="0" quotePrefix="0" xfId="1">
      <protection locked="1" hidden="1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5" fillId="0" borderId="0" applyProtection="1" pivotButton="0" quotePrefix="0" xfId="1">
      <protection locked="0" hidden="0"/>
    </xf>
    <xf numFmtId="165" fontId="2" fillId="0" borderId="0" applyProtection="1" pivotButton="0" quotePrefix="0" xfId="1">
      <protection locked="0" hidden="0"/>
    </xf>
    <xf numFmtId="165" fontId="2" fillId="2" borderId="18" applyProtection="1" pivotButton="0" quotePrefix="0" xfId="0">
      <protection locked="1" hidden="1"/>
    </xf>
    <xf numFmtId="0" fontId="5" fillId="0" borderId="29" applyProtection="1" pivotButton="0" quotePrefix="0" xfId="0">
      <protection locked="1" hidden="1"/>
    </xf>
    <xf numFmtId="165" fontId="2" fillId="0" borderId="31" applyProtection="1" pivotButton="0" quotePrefix="0" xfId="0">
      <protection locked="0" hidden="0"/>
    </xf>
    <xf numFmtId="165" fontId="2" fillId="2" borderId="5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2" fillId="0" borderId="21" applyProtection="1" pivotButton="0" quotePrefix="0" xfId="0"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0" fontId="5" fillId="3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1" xfId="0">
      <alignment horizontal="center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5" fillId="0" borderId="17" applyAlignment="1" applyProtection="1" pivotButton="0" quotePrefix="0" xfId="0">
      <alignment horizontal="left"/>
      <protection locked="1" hidden="1"/>
    </xf>
    <xf numFmtId="0" fontId="5" fillId="0" borderId="35" applyAlignment="1" applyProtection="1" pivotButton="0" quotePrefix="0" xfId="0">
      <alignment horizontal="left"/>
      <protection locked="1" hidden="1"/>
    </xf>
    <xf numFmtId="0" fontId="5" fillId="0" borderId="4" applyAlignment="1" applyProtection="1" pivotButton="0" quotePrefix="0" xfId="0">
      <alignment horizontal="left"/>
      <protection locked="1" hidden="1"/>
    </xf>
    <xf numFmtId="0" fontId="5" fillId="0" borderId="34" applyAlignment="1" applyProtection="1" pivotButton="0" quotePrefix="0" xfId="0">
      <alignment horizontal="left"/>
      <protection locked="1" hidden="1"/>
    </xf>
    <xf numFmtId="0" fontId="6" fillId="0" borderId="48" applyAlignment="1" applyProtection="1" pivotButton="0" quotePrefix="1" xfId="0">
      <alignment horizontal="center"/>
      <protection locked="0" hidden="0"/>
    </xf>
    <xf numFmtId="0" fontId="3" fillId="0" borderId="1" applyAlignment="1" applyProtection="1" pivotButton="0" quotePrefix="1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2" fillId="3" borderId="0" applyProtection="1" pivotButton="0" quotePrefix="0" xfId="0">
      <protection locked="1" hidden="1"/>
    </xf>
    <xf numFmtId="10" fontId="3" fillId="3" borderId="0" applyAlignment="1" applyProtection="1" pivotButton="0" quotePrefix="0" xfId="1">
      <alignment horizontal="center" vertical="center"/>
      <protection locked="0" hidden="0"/>
    </xf>
    <xf numFmtId="0" fontId="15" fillId="0" borderId="0" applyProtection="1" pivotButton="0" quotePrefix="0" xfId="0">
      <protection locked="0" hidden="0"/>
    </xf>
    <xf numFmtId="0" fontId="16" fillId="0" borderId="0" pivotButton="0" quotePrefix="0" xfId="0"/>
    <xf numFmtId="0" fontId="2" fillId="0" borderId="22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center" vertical="center" wrapText="1"/>
    </xf>
    <xf numFmtId="0" fontId="19" fillId="12" borderId="22" applyAlignment="1" pivotButton="0" quotePrefix="0" xfId="0">
      <alignment horizontal="center" vertical="center" wrapText="1"/>
    </xf>
    <xf numFmtId="0" fontId="18" fillId="10" borderId="15" applyAlignment="1" pivotButton="0" quotePrefix="0" xfId="0">
      <alignment horizontal="center" vertical="center" wrapText="1"/>
    </xf>
    <xf numFmtId="0" fontId="18" fillId="1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6" fontId="2" fillId="0" borderId="7" applyAlignment="1" pivotButton="0" quotePrefix="0" xfId="0">
      <alignment horizontal="center" vertical="center" wrapText="1"/>
    </xf>
    <xf numFmtId="0" fontId="18" fillId="10" borderId="48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166" fontId="2" fillId="0" borderId="49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center" vertical="center" wrapText="1"/>
    </xf>
    <xf numFmtId="165" fontId="17" fillId="9" borderId="2" applyAlignment="1" pivotButton="0" quotePrefix="0" xfId="1">
      <alignment horizontal="center" vertical="center" wrapText="1"/>
    </xf>
    <xf numFmtId="165" fontId="0" fillId="0" borderId="49" applyAlignment="1" pivotButton="0" quotePrefix="0" xfId="1">
      <alignment horizontal="center" vertical="center"/>
    </xf>
    <xf numFmtId="165" fontId="0" fillId="0" borderId="22" applyAlignment="1" pivotButton="0" quotePrefix="0" xfId="1">
      <alignment vertical="center"/>
    </xf>
    <xf numFmtId="165" fontId="0" fillId="0" borderId="7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0" fillId="0" borderId="5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2" fillId="2" borderId="24" applyAlignment="1" applyProtection="1" pivotButton="0" quotePrefix="0" xfId="1">
      <alignment vertical="center" wrapText="1"/>
      <protection locked="0" hidden="0"/>
    </xf>
    <xf numFmtId="165" fontId="12" fillId="2" borderId="25" applyAlignment="1" applyProtection="1" pivotButton="0" quotePrefix="0" xfId="1">
      <alignment vertical="center" wrapText="1"/>
      <protection locked="0" hidden="0"/>
    </xf>
    <xf numFmtId="165" fontId="12" fillId="2" borderId="28" applyAlignment="1" applyProtection="1" pivotButton="0" quotePrefix="0" xfId="1">
      <alignment vertical="center" wrapText="1"/>
      <protection locked="0" hidden="0"/>
    </xf>
    <xf numFmtId="165" fontId="2" fillId="2" borderId="23" applyAlignment="1" applyProtection="1" pivotButton="0" quotePrefix="0" xfId="1">
      <alignment vertical="center" wrapText="1"/>
      <protection locked="0" hidden="0"/>
    </xf>
    <xf numFmtId="0" fontId="20" fillId="0" borderId="0" pivotButton="0" quotePrefix="0" xfId="0"/>
    <xf numFmtId="165" fontId="2" fillId="2" borderId="0" applyProtection="1" pivotButton="0" quotePrefix="0" xfId="1">
      <protection locked="0" hidden="0"/>
    </xf>
    <xf numFmtId="0" fontId="3" fillId="0" borderId="12" applyAlignment="1" applyProtection="1" pivotButton="0" quotePrefix="1" xfId="0">
      <alignment horizontal="center"/>
      <protection locked="0" hidden="0"/>
    </xf>
    <xf numFmtId="0" fontId="7" fillId="0" borderId="53" applyProtection="1" pivotButton="0" quotePrefix="0" xfId="0">
      <protection locked="0" hidden="0"/>
    </xf>
    <xf numFmtId="0" fontId="7" fillId="0" borderId="54" applyProtection="1" pivotButton="0" quotePrefix="0" xfId="0">
      <protection locked="0" hidden="0"/>
    </xf>
    <xf numFmtId="0" fontId="2" fillId="0" borderId="14" applyProtection="1" pivotButton="0" quotePrefix="0" xfId="0">
      <protection locked="0" hidden="0"/>
    </xf>
    <xf numFmtId="0" fontId="5" fillId="3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3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54" applyAlignment="1" applyProtection="1" pivotButton="0" quotePrefix="0" xfId="0">
      <alignment horizontal="center"/>
      <protection locked="0" hidden="0"/>
    </xf>
    <xf numFmtId="0" fontId="2" fillId="0" borderId="30" applyAlignment="1" applyProtection="1" pivotButton="0" quotePrefix="0" xfId="0">
      <alignment horizontal="center"/>
      <protection locked="0" hidden="0"/>
    </xf>
    <xf numFmtId="0" fontId="2" fillId="0" borderId="28" applyAlignment="1" applyProtection="1" pivotButton="0" quotePrefix="0" xfId="0">
      <alignment horizontal="center"/>
      <protection locked="0" hidden="0"/>
    </xf>
    <xf numFmtId="0" fontId="3" fillId="2" borderId="1" applyAlignment="1" applyProtection="1" pivotButton="0" quotePrefix="0" xfId="0">
      <alignment horizontal="center"/>
      <protection locked="1" hidden="1"/>
    </xf>
    <xf numFmtId="0" fontId="3" fillId="2" borderId="2" applyAlignment="1" applyProtection="1" pivotButton="0" quotePrefix="0" xfId="0">
      <alignment horizontal="center"/>
      <protection locked="1" hidden="1"/>
    </xf>
    <xf numFmtId="0" fontId="3" fillId="2" borderId="3" applyAlignment="1" applyProtection="1" pivotButton="0" quotePrefix="0" xfId="0">
      <alignment horizontal="center"/>
      <protection locked="1" hidden="1"/>
    </xf>
    <xf numFmtId="0" fontId="3" fillId="4" borderId="0" applyAlignment="1" applyProtection="1" pivotButton="0" quotePrefix="0" xfId="0">
      <alignment horizontal="center"/>
      <protection locked="1" hidden="1"/>
    </xf>
    <xf numFmtId="0" fontId="2" fillId="2" borderId="12" applyAlignment="1" applyProtection="1" pivotButton="0" quotePrefix="0" xfId="0">
      <alignment horizontal="center" vertical="center"/>
      <protection locked="1" hidden="1"/>
    </xf>
    <xf numFmtId="0" fontId="2" fillId="2" borderId="29" applyAlignment="1" applyProtection="1" pivotButton="0" quotePrefix="0" xfId="0">
      <alignment horizontal="center" vertical="center"/>
      <protection locked="1" hidden="1"/>
    </xf>
    <xf numFmtId="10" fontId="3" fillId="2" borderId="32" applyAlignment="1" applyProtection="1" pivotButton="0" quotePrefix="0" xfId="0">
      <alignment horizontal="center" vertical="center"/>
      <protection locked="0" hidden="0"/>
    </xf>
    <xf numFmtId="10" fontId="3" fillId="2" borderId="33" applyAlignment="1" applyProtection="1" pivotButton="0" quotePrefix="0" xfId="0">
      <alignment horizontal="center" vertical="center"/>
      <protection locked="0" hidden="0"/>
    </xf>
    <xf numFmtId="165" fontId="3" fillId="2" borderId="11" applyAlignment="1" applyProtection="1" pivotButton="0" quotePrefix="0" xfId="1">
      <alignment horizontal="center" vertical="center"/>
      <protection locked="1" hidden="1"/>
    </xf>
    <xf numFmtId="165" fontId="3" fillId="2" borderId="31" applyAlignment="1" applyProtection="1" pivotButton="0" quotePrefix="0" xfId="1">
      <alignment horizontal="center" vertical="center"/>
      <protection locked="1" hidden="1"/>
    </xf>
    <xf numFmtId="0" fontId="5" fillId="0" borderId="23" applyAlignment="1" applyProtection="1" pivotButton="0" quotePrefix="0" xfId="0">
      <alignment horizontal="center"/>
      <protection locked="1" hidden="1"/>
    </xf>
    <xf numFmtId="0" fontId="5" fillId="0" borderId="14" applyAlignment="1" applyProtection="1" pivotButton="0" quotePrefix="0" xfId="0">
      <alignment horizontal="center"/>
      <protection locked="1" hidden="1"/>
    </xf>
    <xf numFmtId="0" fontId="5" fillId="0" borderId="53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5" fillId="0" borderId="30" applyAlignment="1" applyProtection="1" pivotButton="0" quotePrefix="0" xfId="0">
      <alignment horizontal="center" vertical="center" wrapText="1"/>
      <protection locked="0" hidden="0"/>
    </xf>
    <xf numFmtId="0" fontId="5" fillId="2" borderId="52" applyAlignment="1" applyProtection="1" pivotButton="0" quotePrefix="0" xfId="0">
      <alignment horizontal="center"/>
      <protection locked="1" hidden="1"/>
    </xf>
    <xf numFmtId="0" fontId="5" fillId="2" borderId="20" applyAlignment="1" applyProtection="1" pivotButton="0" quotePrefix="0" xfId="0">
      <alignment horizontal="center"/>
      <protection locked="1" hidden="1"/>
    </xf>
    <xf numFmtId="167" fontId="6" fillId="0" borderId="0" applyAlignment="1" applyProtection="1" pivotButton="0" quotePrefix="0" xfId="0">
      <alignment horizontal="left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54" applyAlignment="1" applyProtection="1" pivotButton="0" quotePrefix="0" xfId="0">
      <alignment horizontal="center"/>
      <protection locked="0" hidden="0"/>
    </xf>
    <xf numFmtId="165" fontId="12" fillId="2" borderId="23" applyAlignment="1" applyProtection="1" pivotButton="0" quotePrefix="0" xfId="1">
      <alignment horizontal="center" vertical="center" wrapText="1"/>
      <protection locked="0" hidden="0"/>
    </xf>
    <xf numFmtId="165" fontId="12" fillId="2" borderId="24" applyAlignment="1" applyProtection="1" pivotButton="0" quotePrefix="0" xfId="1">
      <alignment horizontal="center" vertical="center" wrapText="1"/>
      <protection locked="0" hidden="0"/>
    </xf>
    <xf numFmtId="165" fontId="12" fillId="2" borderId="25" applyAlignment="1" applyProtection="1" pivotButton="0" quotePrefix="0" xfId="1">
      <alignment horizontal="center" vertical="center" wrapText="1"/>
      <protection locked="0" hidden="0"/>
    </xf>
    <xf numFmtId="165" fontId="12" fillId="2" borderId="28" applyAlignment="1" applyProtection="1" pivotButton="0" quotePrefix="0" xfId="1">
      <alignment horizontal="center" vertical="center" wrapText="1"/>
      <protection locked="0" hidden="0"/>
    </xf>
    <xf numFmtId="0" fontId="5" fillId="0" borderId="36" applyAlignment="1" applyProtection="1" pivotButton="0" quotePrefix="0" xfId="0">
      <alignment horizontal="center"/>
      <protection locked="0" hidden="0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21" applyAlignment="1" applyProtection="1" pivotButton="0" quotePrefix="0" xfId="0">
      <alignment horizontal="center"/>
      <protection locked="0" hidden="0"/>
    </xf>
    <xf numFmtId="0" fontId="5" fillId="0" borderId="20" applyAlignment="1" applyProtection="1" pivotButton="0" quotePrefix="0" xfId="0">
      <alignment horizont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29" applyAlignment="1" applyProtection="1" pivotButton="0" quotePrefix="0" xfId="0">
      <alignment horizontal="center" vertical="center"/>
      <protection locked="0" hidden="0"/>
    </xf>
    <xf numFmtId="4" fontId="14" fillId="0" borderId="13" applyAlignment="1" applyProtection="1" pivotButton="0" quotePrefix="0" xfId="0">
      <alignment horizontal="center" vertical="center" wrapText="1"/>
      <protection locked="0" hidden="0"/>
    </xf>
    <xf numFmtId="4" fontId="14" fillId="0" borderId="14" applyAlignment="1" applyProtection="1" pivotButton="0" quotePrefix="0" xfId="0">
      <alignment horizontal="center" vertical="center" wrapText="1"/>
      <protection locked="0" hidden="0"/>
    </xf>
    <xf numFmtId="4" fontId="14" fillId="0" borderId="10" applyAlignment="1" applyProtection="1" pivotButton="0" quotePrefix="0" xfId="0">
      <alignment horizontal="center" vertical="center" wrapText="1"/>
      <protection locked="0" hidden="0"/>
    </xf>
    <xf numFmtId="4" fontId="14" fillId="0" borderId="27" applyAlignment="1" applyProtection="1" pivotButton="0" quotePrefix="0" xfId="0">
      <alignment horizontal="center" vertical="center" wrapText="1"/>
      <protection locked="0" hidden="0"/>
    </xf>
    <xf numFmtId="4" fontId="14" fillId="0" borderId="30" applyAlignment="1" applyProtection="1" pivotButton="0" quotePrefix="0" xfId="0">
      <alignment horizontal="center" vertical="center" wrapText="1"/>
      <protection locked="0" hidden="0"/>
    </xf>
    <xf numFmtId="4" fontId="14" fillId="0" borderId="26" applyAlignment="1" applyProtection="1" pivotButton="0" quotePrefix="0" xfId="0">
      <alignment horizontal="center" vertical="center" wrapText="1"/>
      <protection locked="0" hidden="0"/>
    </xf>
    <xf numFmtId="166" fontId="6" fillId="0" borderId="13" applyAlignment="1" applyProtection="1" pivotButton="0" quotePrefix="0" xfId="1">
      <alignment horizontal="center" vertical="center"/>
      <protection locked="0" hidden="0"/>
    </xf>
    <xf numFmtId="166" fontId="6" fillId="0" borderId="10" applyAlignment="1" applyProtection="1" pivotButton="0" quotePrefix="0" xfId="1">
      <alignment horizontal="center" vertical="center"/>
      <protection locked="0" hidden="0"/>
    </xf>
    <xf numFmtId="166" fontId="6" fillId="0" borderId="27" applyAlignment="1" applyProtection="1" pivotButton="0" quotePrefix="0" xfId="1">
      <alignment horizontal="center" vertical="center"/>
      <protection locked="0" hidden="0"/>
    </xf>
    <xf numFmtId="166" fontId="6" fillId="0" borderId="26" applyAlignment="1" applyProtection="1" pivotButton="0" quotePrefix="0" xfId="1">
      <alignment horizontal="center" vertical="center"/>
      <protection locked="0" hidden="0"/>
    </xf>
    <xf numFmtId="165" fontId="6" fillId="0" borderId="13" applyAlignment="1" applyProtection="1" pivotButton="0" quotePrefix="0" xfId="1">
      <alignment horizontal="center" vertical="center" wrapText="1"/>
      <protection locked="0" hidden="0"/>
    </xf>
    <xf numFmtId="165" fontId="6" fillId="0" borderId="24" applyAlignment="1" applyProtection="1" pivotButton="0" quotePrefix="0" xfId="1">
      <alignment horizontal="center" vertical="center" wrapText="1"/>
      <protection locked="0" hidden="0"/>
    </xf>
    <xf numFmtId="165" fontId="6" fillId="0" borderId="27" applyAlignment="1" applyProtection="1" pivotButton="0" quotePrefix="0" xfId="1">
      <alignment horizontal="center" vertical="center" wrapText="1"/>
      <protection locked="0" hidden="0"/>
    </xf>
    <xf numFmtId="165" fontId="6" fillId="0" borderId="28" applyAlignment="1" applyProtection="1" pivotButton="0" quotePrefix="0" xfId="1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center"/>
      <protection locked="0" hidden="0"/>
    </xf>
    <xf numFmtId="10" fontId="3" fillId="3" borderId="2" applyAlignment="1" applyProtection="1" pivotButton="0" quotePrefix="0" xfId="0">
      <alignment horizontal="center"/>
      <protection locked="1" hidden="1"/>
    </xf>
    <xf numFmtId="0" fontId="6" fillId="0" borderId="13" applyAlignment="1" applyProtection="1" pivotButton="0" quotePrefix="0" xfId="0">
      <alignment horizontal="center" vertical="center" wrapText="1"/>
      <protection locked="0" hidden="0"/>
    </xf>
    <xf numFmtId="0" fontId="6" fillId="0" borderId="14" applyAlignment="1" applyProtection="1" pivotButton="0" quotePrefix="0" xfId="0">
      <alignment horizontal="center" vertical="center" wrapText="1"/>
      <protection locked="0" hidden="0"/>
    </xf>
    <xf numFmtId="0" fontId="6" fillId="0" borderId="10" applyAlignment="1" applyProtection="1" pivotButton="0" quotePrefix="0" xfId="0">
      <alignment horizontal="center" vertical="center" wrapText="1"/>
      <protection locked="0" hidden="0"/>
    </xf>
    <xf numFmtId="0" fontId="6" fillId="0" borderId="27" applyAlignment="1" applyProtection="1" pivotButton="0" quotePrefix="0" xfId="0">
      <alignment horizontal="center" vertical="center" wrapText="1"/>
      <protection locked="0" hidden="0"/>
    </xf>
    <xf numFmtId="0" fontId="6" fillId="0" borderId="30" applyAlignment="1" applyProtection="1" pivotButton="0" quotePrefix="0" xfId="0">
      <alignment horizontal="center" vertical="center" wrapText="1"/>
      <protection locked="0" hidden="0"/>
    </xf>
    <xf numFmtId="0" fontId="6" fillId="0" borderId="26" applyAlignment="1" applyProtection="1" pivotButton="0" quotePrefix="0" xfId="0">
      <alignment horizontal="center" vertical="center" wrapText="1"/>
      <protection locked="0" hidden="0"/>
    </xf>
    <xf numFmtId="18" fontId="14" fillId="0" borderId="13" applyAlignment="1" applyProtection="1" pivotButton="0" quotePrefix="0" xfId="1">
      <alignment horizontal="center" vertical="center"/>
      <protection locked="0" hidden="0"/>
    </xf>
    <xf numFmtId="18" fontId="14" fillId="0" borderId="24" applyAlignment="1" applyProtection="1" pivotButton="0" quotePrefix="0" xfId="1">
      <alignment horizontal="center" vertical="center"/>
      <protection locked="0" hidden="0"/>
    </xf>
    <xf numFmtId="18" fontId="14" fillId="0" borderId="27" applyAlignment="1" applyProtection="1" pivotButton="0" quotePrefix="0" xfId="1">
      <alignment horizontal="center" vertical="center"/>
      <protection locked="0" hidden="0"/>
    </xf>
    <xf numFmtId="18" fontId="14" fillId="0" borderId="28" applyAlignment="1" applyProtection="1" pivotButton="0" quotePrefix="0" xfId="1">
      <alignment horizontal="center" vertical="center"/>
      <protection locked="0" hidden="0"/>
    </xf>
    <xf numFmtId="10" fontId="3" fillId="3" borderId="0" applyAlignment="1" applyProtection="1" pivotButton="0" quotePrefix="0" xfId="0">
      <alignment horizontal="center"/>
      <protection locked="1" hidden="1"/>
    </xf>
    <xf numFmtId="0" fontId="6" fillId="0" borderId="34" applyAlignment="1" applyProtection="1" pivotButton="0" quotePrefix="0" xfId="0">
      <alignment horizontal="center" vertical="center" wrapText="1"/>
      <protection locked="0" hidden="0"/>
    </xf>
    <xf numFmtId="165" fontId="6" fillId="0" borderId="34" applyAlignment="1" applyProtection="1" pivotButton="0" quotePrefix="0" xfId="1">
      <alignment horizontal="center" vertical="center"/>
      <protection locked="0" hidden="0"/>
    </xf>
    <xf numFmtId="165" fontId="6" fillId="0" borderId="5" applyAlignment="1" applyProtection="1" pivotButton="0" quotePrefix="0" xfId="1">
      <alignment horizontal="center" vertical="center"/>
      <protection locked="0" hidden="0"/>
    </xf>
    <xf numFmtId="165" fontId="6" fillId="8" borderId="38" applyAlignment="1" applyProtection="1" pivotButton="0" quotePrefix="0" xfId="1">
      <alignment horizontal="center"/>
      <protection locked="1" hidden="1"/>
    </xf>
    <xf numFmtId="165" fontId="6" fillId="8" borderId="39" applyAlignment="1" applyProtection="1" pivotButton="0" quotePrefix="0" xfId="1">
      <alignment horizontal="center"/>
      <protection locked="1" hidden="1"/>
    </xf>
    <xf numFmtId="165" fontId="6" fillId="8" borderId="43" applyAlignment="1" applyProtection="1" pivotButton="0" quotePrefix="0" xfId="1">
      <alignment horizontal="center"/>
      <protection locked="1" hidden="1"/>
    </xf>
    <xf numFmtId="165" fontId="6" fillId="8" borderId="44" applyAlignment="1" applyProtection="1" pivotButton="0" quotePrefix="0" xfId="1">
      <alignment horizontal="center"/>
      <protection locked="1" hidden="1"/>
    </xf>
    <xf numFmtId="165" fontId="6" fillId="8" borderId="45" applyAlignment="1" applyProtection="1" pivotButton="0" quotePrefix="0" xfId="1">
      <alignment horizontal="center"/>
      <protection locked="1" hidden="1"/>
    </xf>
    <xf numFmtId="165" fontId="6" fillId="8" borderId="46" applyAlignment="1" applyProtection="1" pivotButton="0" quotePrefix="0" xfId="1">
      <alignment horizontal="center"/>
      <protection locked="1" hidden="1"/>
    </xf>
    <xf numFmtId="165" fontId="6" fillId="8" borderId="40" applyAlignment="1" applyProtection="1" pivotButton="0" quotePrefix="0" xfId="1">
      <alignment horizontal="center"/>
      <protection locked="1" hidden="1"/>
    </xf>
    <xf numFmtId="165" fontId="6" fillId="8" borderId="41" applyAlignment="1" applyProtection="1" pivotButton="0" quotePrefix="0" xfId="1">
      <alignment horizontal="center"/>
      <protection locked="1" hidden="1"/>
    </xf>
    <xf numFmtId="165" fontId="6" fillId="8" borderId="42" applyAlignment="1" applyProtection="1" pivotButton="0" quotePrefix="0" xfId="1">
      <alignment horizontal="center"/>
      <protection locked="1" hidden="1"/>
    </xf>
    <xf numFmtId="0" fontId="4" fillId="8" borderId="23" applyAlignment="1" applyProtection="1" pivotButton="0" quotePrefix="0" xfId="0">
      <alignment horizontal="center" vertical="center"/>
      <protection locked="1" hidden="1"/>
    </xf>
    <xf numFmtId="0" fontId="4" fillId="8" borderId="10" applyAlignment="1" applyProtection="1" pivotButton="0" quotePrefix="0" xfId="0">
      <alignment horizontal="center" vertical="center"/>
      <protection locked="1" hidden="1"/>
    </xf>
    <xf numFmtId="0" fontId="4" fillId="8" borderId="25" applyAlignment="1" applyProtection="1" pivotButton="0" quotePrefix="0" xfId="0">
      <alignment horizontal="center" vertical="center"/>
      <protection locked="1" hidden="1"/>
    </xf>
    <xf numFmtId="0" fontId="4" fillId="8" borderId="26" applyAlignment="1" applyProtection="1" pivotButton="0" quotePrefix="0" xfId="0">
      <alignment horizontal="center" vertical="center"/>
      <protection locked="1" hidden="1"/>
    </xf>
    <xf numFmtId="165" fontId="6" fillId="8" borderId="13" applyAlignment="1" applyProtection="1" pivotButton="0" quotePrefix="0" xfId="1">
      <alignment horizontal="center" vertical="center"/>
      <protection locked="1" hidden="1"/>
    </xf>
    <xf numFmtId="165" fontId="6" fillId="8" borderId="14" applyAlignment="1" applyProtection="1" pivotButton="0" quotePrefix="0" xfId="1">
      <alignment horizontal="center" vertical="center"/>
      <protection locked="1" hidden="1"/>
    </xf>
    <xf numFmtId="165" fontId="6" fillId="8" borderId="24" applyAlignment="1" applyProtection="1" pivotButton="0" quotePrefix="0" xfId="1">
      <alignment horizontal="center" vertical="center"/>
      <protection locked="1" hidden="1"/>
    </xf>
    <xf numFmtId="165" fontId="6" fillId="8" borderId="27" applyAlignment="1" applyProtection="1" pivotButton="0" quotePrefix="0" xfId="1">
      <alignment horizontal="center" vertical="center"/>
      <protection locked="1" hidden="1"/>
    </xf>
    <xf numFmtId="165" fontId="6" fillId="8" borderId="30" applyAlignment="1" applyProtection="1" pivotButton="0" quotePrefix="0" xfId="1">
      <alignment horizontal="center" vertical="center"/>
      <protection locked="1" hidden="1"/>
    </xf>
    <xf numFmtId="165" fontId="6" fillId="8" borderId="28" applyAlignment="1" applyProtection="1" pivotButton="0" quotePrefix="0" xfId="1">
      <alignment horizontal="center" vertical="center"/>
      <protection locked="1" hidden="1"/>
    </xf>
    <xf numFmtId="0" fontId="5" fillId="0" borderId="13" applyAlignment="1" applyProtection="1" pivotButton="0" quotePrefix="0" xfId="0">
      <alignment horizontal="center"/>
      <protection locked="0" hidden="0"/>
    </xf>
    <xf numFmtId="0" fontId="5" fillId="0" borderId="14" applyAlignment="1" applyProtection="1" pivotButton="0" quotePrefix="0" xfId="0">
      <alignment horizontal="center"/>
      <protection locked="0" hidden="0"/>
    </xf>
    <xf numFmtId="0" fontId="5" fillId="0" borderId="10" applyAlignment="1" applyProtection="1" pivotButton="0" quotePrefix="0" xfId="0">
      <alignment horizontal="center"/>
      <protection locked="0" hidden="0"/>
    </xf>
    <xf numFmtId="0" fontId="5" fillId="0" borderId="24" applyAlignment="1" applyProtection="1" pivotButton="0" quotePrefix="0" xfId="0">
      <alignment horizontal="center"/>
      <protection locked="0" hidden="0"/>
    </xf>
    <xf numFmtId="0" fontId="6" fillId="0" borderId="7" applyAlignment="1" applyProtection="1" pivotButton="0" quotePrefix="0" xfId="0">
      <alignment horizontal="center" vertical="center" wrapText="1"/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0" borderId="8" applyAlignment="1" applyProtection="1" pivotButton="0" quotePrefix="0" xfId="1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5" fillId="2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1" hidden="1"/>
    </xf>
    <xf numFmtId="0" fontId="4" fillId="3" borderId="54" applyAlignment="1" applyProtection="1" pivotButton="0" quotePrefix="0" xfId="0">
      <alignment horizontal="center" vertical="center"/>
      <protection locked="1" hidden="1"/>
    </xf>
    <xf numFmtId="0" fontId="4" fillId="8" borderId="23" applyAlignment="1" applyProtection="1" pivotButton="0" quotePrefix="0" xfId="0">
      <alignment horizontal="center" vertical="center" wrapText="1"/>
      <protection locked="1" hidden="1"/>
    </xf>
    <xf numFmtId="0" fontId="4" fillId="8" borderId="10" applyAlignment="1" applyProtection="1" pivotButton="0" quotePrefix="0" xfId="0">
      <alignment horizontal="center" vertical="center" wrapText="1"/>
      <protection locked="1" hidden="1"/>
    </xf>
    <xf numFmtId="0" fontId="4" fillId="8" borderId="25" applyAlignment="1" applyProtection="1" pivotButton="0" quotePrefix="0" xfId="0">
      <alignment horizontal="center" vertical="center" wrapText="1"/>
      <protection locked="1" hidden="1"/>
    </xf>
    <xf numFmtId="0" fontId="4" fillId="8" borderId="26" applyAlignment="1" applyProtection="1" pivotButton="0" quotePrefix="0" xfId="0">
      <alignment horizontal="center" vertical="center" wrapText="1"/>
      <protection locked="1" hidden="1"/>
    </xf>
    <xf numFmtId="165" fontId="6" fillId="3" borderId="53" applyAlignment="1" applyProtection="1" pivotButton="0" quotePrefix="0" xfId="1">
      <alignment horizontal="center" vertical="center"/>
      <protection locked="1" hidden="1"/>
    </xf>
    <xf numFmtId="165" fontId="6" fillId="3" borderId="0" applyAlignment="1" applyProtection="1" pivotButton="0" quotePrefix="0" xfId="1">
      <alignment horizontal="center" vertical="center"/>
      <protection locked="1" hidden="1"/>
    </xf>
    <xf numFmtId="0" fontId="6" fillId="0" borderId="53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5" fillId="0" borderId="53" applyAlignment="1" applyProtection="1" pivotButton="0" quotePrefix="0" xfId="0">
      <alignment horizontal="center"/>
      <protection locked="0" hidden="0"/>
    </xf>
    <xf numFmtId="0" fontId="5" fillId="0" borderId="58" applyAlignment="1" applyProtection="1" pivotButton="0" quotePrefix="0" xfId="0">
      <alignment horizontal="center"/>
      <protection locked="1" hidden="1"/>
    </xf>
    <xf numFmtId="0" fontId="5" fillId="0" borderId="47" applyAlignment="1" applyProtection="1" pivotButton="0" quotePrefix="0" xfId="0">
      <alignment horizontal="center"/>
      <protection locked="1" hidden="1"/>
    </xf>
    <xf numFmtId="0" fontId="4" fillId="3" borderId="53" applyAlignment="1" applyProtection="1" pivotButton="0" quotePrefix="0" xfId="0">
      <alignment horizontal="center" vertical="center" wrapText="1"/>
      <protection locked="1" hidden="1"/>
    </xf>
    <xf numFmtId="165" fontId="14" fillId="3" borderId="0" applyAlignment="1" applyProtection="1" pivotButton="0" quotePrefix="0" xfId="1">
      <alignment horizontal="center" vertical="center"/>
      <protection locked="1" hidden="1"/>
    </xf>
    <xf numFmtId="0" fontId="5" fillId="0" borderId="55" applyAlignment="1" applyProtection="1" pivotButton="0" quotePrefix="0" xfId="0">
      <alignment horizontal="center"/>
      <protection locked="1" hidden="1"/>
    </xf>
    <xf numFmtId="0" fontId="5" fillId="0" borderId="51" applyAlignment="1" applyProtection="1" pivotButton="0" quotePrefix="0" xfId="0">
      <alignment horizontal="center"/>
      <protection locked="1" hidden="1"/>
    </xf>
    <xf numFmtId="0" fontId="5" fillId="0" borderId="56" applyAlignment="1" applyProtection="1" pivotButton="0" quotePrefix="0" xfId="0">
      <alignment horizontal="center"/>
      <protection locked="1" hidden="1"/>
    </xf>
    <xf numFmtId="0" fontId="5" fillId="0" borderId="57" applyAlignment="1" applyProtection="1" pivotButton="0" quotePrefix="0" xfId="0">
      <alignment horizontal="center"/>
      <protection locked="1" hidden="1"/>
    </xf>
    <xf numFmtId="18" fontId="6" fillId="0" borderId="13" applyAlignment="1" applyProtection="1" pivotButton="0" quotePrefix="0" xfId="1">
      <alignment horizontal="center" vertical="center"/>
      <protection locked="0" hidden="0"/>
    </xf>
    <xf numFmtId="18" fontId="6" fillId="0" borderId="24" applyAlignment="1" applyProtection="1" pivotButton="0" quotePrefix="0" xfId="1">
      <alignment horizontal="center" vertical="center"/>
      <protection locked="0" hidden="0"/>
    </xf>
    <xf numFmtId="18" fontId="6" fillId="0" borderId="27" applyAlignment="1" applyProtection="1" pivotButton="0" quotePrefix="0" xfId="1">
      <alignment horizontal="center" vertical="center"/>
      <protection locked="0" hidden="0"/>
    </xf>
    <xf numFmtId="18" fontId="6" fillId="0" borderId="28" applyAlignment="1" applyProtection="1" pivotButton="0" quotePrefix="0" xfId="1">
      <alignment horizontal="center" vertical="center"/>
      <protection locked="0" hidden="0"/>
    </xf>
    <xf numFmtId="165" fontId="6" fillId="3" borderId="37" applyAlignment="1" applyProtection="1" pivotButton="0" quotePrefix="0" xfId="1">
      <alignment horizontal="center"/>
      <protection locked="1" hidden="1"/>
    </xf>
    <xf numFmtId="0" fontId="5" fillId="0" borderId="37" applyAlignment="1" applyProtection="1" pivotButton="0" quotePrefix="0" xfId="0">
      <alignment horizontal="center"/>
      <protection locked="1" hidden="1"/>
    </xf>
    <xf numFmtId="165" fontId="6" fillId="0" borderId="38" applyAlignment="1" applyProtection="1" pivotButton="0" quotePrefix="0" xfId="1">
      <alignment horizontal="center" vertical="center"/>
      <protection locked="0" hidden="0"/>
    </xf>
    <xf numFmtId="165" fontId="6" fillId="0" borderId="43" applyAlignment="1" applyProtection="1" pivotButton="0" quotePrefix="0" xfId="1">
      <alignment horizontal="center" vertical="center"/>
      <protection locked="0" hidden="0"/>
    </xf>
    <xf numFmtId="165" fontId="6" fillId="3" borderId="14" applyAlignment="1" applyProtection="1" pivotButton="0" quotePrefix="0" xfId="1">
      <alignment horizontal="center"/>
      <protection locked="1" hidden="1"/>
    </xf>
    <xf numFmtId="165" fontId="6" fillId="0" borderId="40" applyAlignment="1" applyProtection="1" pivotButton="0" quotePrefix="0" xfId="1">
      <alignment horizontal="center" vertical="center"/>
      <protection locked="0" hidden="0"/>
    </xf>
    <xf numFmtId="165" fontId="6" fillId="0" borderId="42" applyAlignment="1" applyProtection="1" pivotButton="0" quotePrefix="0" xfId="1">
      <alignment horizontal="center" vertical="center"/>
      <protection locked="0" hidden="0"/>
    </xf>
    <xf numFmtId="0" fontId="6" fillId="0" borderId="38" applyAlignment="1" applyProtection="1" pivotButton="0" quotePrefix="0" xfId="0">
      <alignment horizontal="center" vertical="center" wrapText="1"/>
      <protection locked="0" hidden="0"/>
    </xf>
    <xf numFmtId="0" fontId="6" fillId="0" borderId="39" applyAlignment="1" applyProtection="1" pivotButton="0" quotePrefix="0" xfId="0">
      <alignment horizontal="center" vertical="center" wrapText="1"/>
      <protection locked="0" hidden="0"/>
    </xf>
    <xf numFmtId="0" fontId="6" fillId="0" borderId="51" applyAlignment="1" applyProtection="1" pivotButton="0" quotePrefix="0" xfId="0">
      <alignment horizontal="center" vertical="center" wrapText="1"/>
      <protection locked="0" hidden="0"/>
    </xf>
    <xf numFmtId="0" fontId="6" fillId="0" borderId="40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47" applyAlignment="1" applyProtection="1" pivotButton="0" quotePrefix="0" xfId="0">
      <alignment horizontal="center" vertical="center" wrapText="1"/>
      <protection locked="0" hidden="0"/>
    </xf>
    <xf numFmtId="0" fontId="4" fillId="3" borderId="0" applyAlignment="1" applyProtection="1" pivotButton="0" quotePrefix="0" xfId="0">
      <alignment horizontal="center" vertical="center" wrapText="1"/>
      <protection locked="1" hidden="1"/>
    </xf>
    <xf numFmtId="165" fontId="6" fillId="3" borderId="0" applyAlignment="1" applyProtection="1" pivotButton="0" quotePrefix="0" xfId="1">
      <alignment horizontal="center"/>
      <protection locked="1" hidden="1"/>
    </xf>
    <xf numFmtId="0" fontId="5" fillId="0" borderId="30" applyAlignment="1" applyProtection="1" pivotButton="0" quotePrefix="0" xfId="0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 wrapText="1"/>
      <protection locked="1" hidden="1"/>
    </xf>
    <xf numFmtId="0" fontId="4" fillId="8" borderId="34" applyAlignment="1" applyProtection="1" pivotButton="0" quotePrefix="0" xfId="0">
      <alignment horizontal="center" vertical="center" wrapText="1"/>
      <protection locked="1" hidden="1"/>
    </xf>
    <xf numFmtId="0" fontId="4" fillId="8" borderId="6" applyAlignment="1" applyProtection="1" pivotButton="0" quotePrefix="0" xfId="0">
      <alignment horizontal="center" vertical="center" wrapText="1"/>
      <protection locked="1" hidden="1"/>
    </xf>
    <xf numFmtId="0" fontId="4" fillId="8" borderId="7" applyAlignment="1" applyProtection="1" pivotButton="0" quotePrefix="0" xfId="0">
      <alignment horizontal="center" vertical="center" wrapText="1"/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165" fontId="6" fillId="8" borderId="5" applyAlignment="1" applyProtection="1" pivotButton="0" quotePrefix="0" xfId="1">
      <alignment horizontal="center" vertical="center"/>
      <protection locked="1" hidden="1"/>
    </xf>
    <xf numFmtId="165" fontId="6" fillId="8" borderId="7" applyAlignment="1" applyProtection="1" pivotButton="0" quotePrefix="0" xfId="1">
      <alignment horizontal="center" vertical="center"/>
      <protection locked="1" hidden="1"/>
    </xf>
    <xf numFmtId="165" fontId="6" fillId="8" borderId="8" applyAlignment="1" applyProtection="1" pivotButton="0" quotePrefix="0" xfId="1">
      <alignment horizontal="center" vertical="center"/>
      <protection locked="1" hidden="1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165" fontId="6" fillId="0" borderId="50" applyAlignment="1" applyProtection="1" pivotButton="0" quotePrefix="0" xfId="1">
      <alignment horizontal="center" vertical="center"/>
      <protection locked="0" hidden="0"/>
    </xf>
    <xf numFmtId="0" fontId="6" fillId="0" borderId="49" applyAlignment="1" applyProtection="1" pivotButton="0" quotePrefix="0" xfId="0">
      <alignment horizontal="center" vertical="center" wrapText="1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165" fontId="6" fillId="8" borderId="5" applyAlignment="1" applyProtection="1" pivotButton="0" quotePrefix="0" xfId="1">
      <alignment horizontal="center"/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165" fontId="6" fillId="8" borderId="16" applyAlignment="1" applyProtection="1" pivotButton="0" quotePrefix="0" xfId="1">
      <alignment horizontal="center"/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165" fontId="6" fillId="8" borderId="18" applyAlignment="1" applyProtection="1" pivotButton="0" quotePrefix="0" xfId="1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/>
      <protection locked="1" hidden="1"/>
    </xf>
    <xf numFmtId="0" fontId="4" fillId="8" borderId="34" applyAlignment="1" applyProtection="1" pivotButton="0" quotePrefix="0" xfId="0">
      <alignment horizontal="center" vertical="center"/>
      <protection locked="1" hidden="1"/>
    </xf>
    <xf numFmtId="0" fontId="4" fillId="8" borderId="6" applyAlignment="1" applyProtection="1" pivotButton="0" quotePrefix="0" xfId="0">
      <alignment horizontal="center" vertical="center"/>
      <protection locked="1" hidden="1"/>
    </xf>
    <xf numFmtId="0" fontId="4" fillId="8" borderId="7" applyAlignment="1" applyProtection="1" pivotButton="0" quotePrefix="0" xfId="0">
      <alignment horizontal="center" vertical="center"/>
      <protection locked="1" hidden="1"/>
    </xf>
    <xf numFmtId="165" fontId="6" fillId="0" borderId="24" applyAlignment="1" applyProtection="1" pivotButton="0" quotePrefix="0" xfId="1">
      <alignment horizontal="center" vertical="center"/>
      <protection locked="0" hidden="0"/>
    </xf>
    <xf numFmtId="165" fontId="6" fillId="0" borderId="27" applyAlignment="1" applyProtection="1" pivotButton="0" quotePrefix="0" xfId="1">
      <alignment horizontal="center" vertical="center"/>
      <protection locked="0" hidden="0"/>
    </xf>
    <xf numFmtId="165" fontId="6" fillId="0" borderId="28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5" fillId="2" borderId="12" applyAlignment="1" applyProtection="1" pivotButton="0" quotePrefix="0" xfId="0">
      <alignment horizontal="center"/>
      <protection locked="1" hidden="1"/>
    </xf>
    <xf numFmtId="0" fontId="5" fillId="2" borderId="11" applyAlignment="1" applyProtection="1" pivotButton="0" quotePrefix="0" xfId="0">
      <alignment horizontal="center"/>
      <protection locked="1" hidden="1"/>
    </xf>
    <xf numFmtId="0" fontId="19" fillId="11" borderId="49" applyAlignment="1" pivotButton="0" quotePrefix="0" xfId="0">
      <alignment horizontal="center" vertical="center" wrapText="1"/>
    </xf>
    <xf numFmtId="0" fontId="19" fillId="11" borderId="22" applyAlignment="1" pivotButton="0" quotePrefix="0" xfId="0">
      <alignment horizontal="center" vertical="center" wrapText="1"/>
    </xf>
    <xf numFmtId="0" fontId="19" fillId="13" borderId="22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7" applyAlignment="1" pivotButton="0" quotePrefix="0" xfId="0">
      <alignment horizontal="center" vertical="center" wrapText="1"/>
    </xf>
    <xf numFmtId="0" fontId="0" fillId="0" borderId="92" applyProtection="1" pivotButton="0" quotePrefix="0" xfId="0">
      <protection locked="1" hidden="1"/>
    </xf>
    <xf numFmtId="0" fontId="0" fillId="0" borderId="93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0" hidden="0"/>
    </xf>
    <xf numFmtId="165" fontId="3" fillId="2" borderId="3" applyAlignment="1" applyProtection="1" pivotButton="0" quotePrefix="0" xfId="1">
      <alignment horizontal="center" vertical="center"/>
      <protection locked="1" hidden="1"/>
    </xf>
    <xf numFmtId="0" fontId="0" fillId="0" borderId="29" applyProtection="1" pivotButton="0" quotePrefix="0" xfId="0">
      <protection locked="1" hidden="1"/>
    </xf>
    <xf numFmtId="0" fontId="0" fillId="0" borderId="33" applyProtection="1" pivotButton="0" quotePrefix="0" xfId="0">
      <protection locked="0" hidden="0"/>
    </xf>
    <xf numFmtId="0" fontId="0" fillId="0" borderId="31" applyProtection="1" pivotButton="0" quotePrefix="0" xfId="0">
      <protection locked="1" hidden="1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0" fontId="5" fillId="2" borderId="94" applyAlignment="1" applyProtection="1" pivotButton="0" quotePrefix="0" xfId="0">
      <alignment horizontal="center"/>
      <protection locked="1" hidden="1"/>
    </xf>
    <xf numFmtId="0" fontId="0" fillId="0" borderId="20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165" fontId="3" fillId="3" borderId="0" applyProtection="1" pivotButton="0" quotePrefix="0" xfId="0">
      <protection locked="0" hidden="0"/>
    </xf>
    <xf numFmtId="167" fontId="6" fillId="0" borderId="0" applyAlignment="1" applyProtection="1" pivotButton="0" quotePrefix="0" xfId="0">
      <alignment horizontal="left"/>
      <protection locked="0" hidden="0"/>
    </xf>
    <xf numFmtId="165" fontId="2" fillId="2" borderId="16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165" fontId="2" fillId="2" borderId="18" applyProtection="1" pivotButton="0" quotePrefix="0" xfId="0">
      <protection locked="1" hidden="1"/>
    </xf>
    <xf numFmtId="165" fontId="2" fillId="2" borderId="5" applyAlignment="1" applyProtection="1" pivotButton="0" quotePrefix="0" xfId="0">
      <alignment horizontal="center"/>
      <protection locked="1" hidden="1"/>
    </xf>
    <xf numFmtId="165" fontId="12" fillId="2" borderId="94" applyAlignment="1" applyProtection="1" pivotButton="0" quotePrefix="0" xfId="1">
      <alignment horizontal="center" vertical="center" wrapText="1"/>
      <protection locked="0" hidden="0"/>
    </xf>
    <xf numFmtId="0" fontId="0" fillId="0" borderId="24" applyProtection="1" pivotButton="0" quotePrefix="0" xfId="0">
      <protection locked="0" hidden="0"/>
    </xf>
    <xf numFmtId="165" fontId="2" fillId="2" borderId="8" applyAlignment="1" applyProtection="1" pivotButton="0" quotePrefix="0" xfId="0">
      <alignment horizontal="center"/>
      <protection locked="1" hidden="1"/>
    </xf>
    <xf numFmtId="0" fontId="0" fillId="0" borderId="25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5" fontId="2" fillId="0" borderId="31" applyProtection="1" pivotButton="0" quotePrefix="0" xfId="0">
      <protection locked="0" hidden="0"/>
    </xf>
    <xf numFmtId="165" fontId="5" fillId="0" borderId="0" applyProtection="1" pivotButton="0" quotePrefix="0" xfId="1"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5" fillId="0" borderId="101" applyAlignment="1" applyProtection="1" pivotButton="0" quotePrefix="0" xfId="0">
      <alignment horizontal="center"/>
      <protection locked="0" hidden="0"/>
    </xf>
    <xf numFmtId="165" fontId="7" fillId="3" borderId="0" applyProtection="1" pivotButton="0" quotePrefix="0" xfId="0">
      <protection locked="1" hidden="1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6" fillId="0" borderId="64" applyAlignment="1" applyProtection="1" pivotButton="0" quotePrefix="0" xfId="1">
      <alignment horizontal="center" vertical="center" wrapText="1"/>
      <protection locked="0" hidden="0"/>
    </xf>
    <xf numFmtId="165" fontId="2" fillId="0" borderId="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165" fontId="2" fillId="0" borderId="0" applyProtection="1" pivotButton="0" quotePrefix="0" xfId="0">
      <protection locked="1" hidden="1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5" fillId="0" borderId="32" applyAlignment="1" applyProtection="1" pivotButton="0" quotePrefix="0" xfId="0">
      <alignment horizontal="center"/>
      <protection locked="0" hidden="0"/>
    </xf>
    <xf numFmtId="0" fontId="0" fillId="0" borderId="21" applyProtection="1" pivotButton="0" quotePrefix="0" xfId="0">
      <protection locked="1" hidden="1"/>
    </xf>
    <xf numFmtId="165" fontId="3" fillId="8" borderId="3" applyProtection="1" pivotButton="0" quotePrefix="0" xfId="1"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18" fontId="6" fillId="0" borderId="64" applyAlignment="1" applyProtection="1" pivotButton="0" quotePrefix="0" xfId="1">
      <alignment horizontal="center" vertical="center"/>
      <protection locked="0" hidden="0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0" fontId="0" fillId="0" borderId="39" applyProtection="1" pivotButton="0" quotePrefix="0" xfId="0">
      <protection locked="1" hidden="1"/>
    </xf>
    <xf numFmtId="0" fontId="0" fillId="0" borderId="70" applyProtection="1" pivotButton="0" quotePrefix="0" xfId="0"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0" fontId="0" fillId="0" borderId="45" applyProtection="1" pivotButton="0" quotePrefix="0" xfId="0">
      <protection locked="1" hidden="1"/>
    </xf>
    <xf numFmtId="0" fontId="0" fillId="0" borderId="102" applyProtection="1" pivotButton="0" quotePrefix="0" xfId="0"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0" fontId="0" fillId="0" borderId="67" applyProtection="1" pivotButton="0" quotePrefix="0" xfId="0">
      <protection locked="1" hidden="1"/>
    </xf>
    <xf numFmtId="0" fontId="0" fillId="0" borderId="71" applyProtection="1" pivotButton="0" quotePrefix="0" xfId="0">
      <protection locked="1" hidden="1"/>
    </xf>
    <xf numFmtId="0" fontId="0" fillId="0" borderId="91" applyProtection="1" pivotButton="0" quotePrefix="0" xfId="0"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6" applyProtection="1" pivotButton="0" quotePrefix="0" xfId="0">
      <protection locked="1" hidden="1"/>
    </xf>
    <xf numFmtId="0" fontId="0" fillId="0" borderId="97" applyProtection="1" pivotButton="0" quotePrefix="0" xfId="0">
      <protection locked="1" hidden="1"/>
    </xf>
    <xf numFmtId="0" fontId="0" fillId="0" borderId="98" applyProtection="1" pivotButton="0" quotePrefix="0" xfId="0">
      <protection locked="1" hidden="1"/>
    </xf>
    <xf numFmtId="0" fontId="0" fillId="0" borderId="99" applyProtection="1" pivotButton="0" quotePrefix="0" xfId="0">
      <protection locked="1" hidden="1"/>
    </xf>
    <xf numFmtId="0" fontId="0" fillId="0" borderId="100" applyProtection="1" pivotButton="0" quotePrefix="0" xfId="0">
      <protection locked="1" hidden="1"/>
    </xf>
    <xf numFmtId="0" fontId="5" fillId="0" borderId="72" applyAlignment="1" applyProtection="1" pivotButton="0" quotePrefix="0" xfId="0">
      <alignment horizontal="center"/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5" fillId="0" borderId="76" applyAlignment="1" applyProtection="1" pivotButton="0" quotePrefix="0" xfId="0">
      <alignment horizontal="center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99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3" borderId="0" applyAlignment="1" applyProtection="1" pivotButton="0" quotePrefix="0" xfId="1">
      <alignment horizontal="center"/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165" fontId="2" fillId="0" borderId="0" applyProtection="1" pivotButton="0" quotePrefix="0" xfId="1">
      <protection locked="0" hidden="0"/>
    </xf>
    <xf numFmtId="165" fontId="6" fillId="3" borderId="0" applyAlignment="1" applyProtection="1" pivotButton="0" quotePrefix="0" xfId="1">
      <alignment horizontal="center" vertical="center"/>
      <protection locked="1" hidden="1"/>
    </xf>
  </cellXfs>
  <cellStyles count="4">
    <cellStyle name="Normal" xfId="0" builtinId="0"/>
    <cellStyle name="Moeda" xfId="1" builtinId="4"/>
    <cellStyle name="Porcentagem" xfId="2" builtinId="5"/>
    <cellStyle name="Hi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68"/>
  <sheetViews>
    <sheetView showGridLines="0" view="pageBreakPreview" topLeftCell="A16" zoomScaleNormal="100" zoomScaleSheetLayoutView="100" workbookViewId="0">
      <selection activeCell="A1" sqref="A1:I61"/>
    </sheetView>
  </sheetViews>
  <sheetFormatPr baseColWidth="8" defaultColWidth="11.6640625" defaultRowHeight="13.2"/>
  <cols>
    <col width="11.6640625" customWidth="1" style="1" min="1" max="1"/>
    <col width="11.6640625" customWidth="1" style="1" min="2" max="3"/>
    <col width="10.88671875" customWidth="1" style="1" min="4" max="4"/>
    <col width="13.6640625" customWidth="1" style="1" min="5" max="5"/>
    <col width="12.109375" bestFit="1" customWidth="1" style="1" min="6" max="6"/>
    <col width="11.6640625" customWidth="1" style="1" min="7" max="7"/>
    <col width="12" customWidth="1" style="1" min="8" max="8"/>
    <col width="12.33203125" customWidth="1" style="1" min="9" max="9"/>
    <col width="11.6640625" customWidth="1" style="1" min="10" max="10"/>
    <col width="14.44140625" bestFit="1" customWidth="1" style="1" min="11" max="11"/>
    <col width="23.5546875" customWidth="1" style="1" min="12" max="12"/>
    <col width="21.109375" bestFit="1" customWidth="1" style="1" min="13" max="13"/>
    <col width="13.44140625" bestFit="1" customWidth="1" style="1" min="14" max="14"/>
    <col width="9.88671875" bestFit="1" customWidth="1" style="1" min="15" max="15"/>
    <col width="2.5546875" customWidth="1" style="1" min="16" max="16"/>
    <col width="21" bestFit="1" customWidth="1" style="1" min="17" max="17"/>
    <col width="5.44140625" bestFit="1" customWidth="1" style="1" min="18" max="27"/>
    <col width="6" bestFit="1" customWidth="1" style="1" min="28" max="28"/>
    <col width="5.44140625" bestFit="1" customWidth="1" style="1" min="29" max="39"/>
    <col width="5.5546875" customWidth="1" style="1" min="40" max="40"/>
    <col width="5.44140625" bestFit="1" customWidth="1" style="1" min="41" max="44"/>
    <col width="11.6640625" customWidth="1" style="1" min="45" max="16384"/>
  </cols>
  <sheetData>
    <row r="1" ht="13.8" customHeight="1" thickBot="1">
      <c r="J1" s="2" t="n"/>
      <c r="K1" s="137" t="inlineStr">
        <is>
          <t>Seguro</t>
        </is>
      </c>
      <c r="L1" s="301" t="n"/>
      <c r="M1" s="302" t="n"/>
      <c r="N1" s="3" t="n"/>
      <c r="O1" s="4" t="n"/>
      <c r="P1" s="4" t="n"/>
      <c r="Q1" s="140" t="inlineStr">
        <is>
          <t xml:space="preserve"> TABELA OFICIAL DE TAXAS DO SEGURO OBRIGATÓRIO DE  RCTR-C </t>
        </is>
      </c>
      <c r="R1" s="303" t="n"/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</row>
    <row r="2" ht="13.8" customHeight="1" thickBot="1">
      <c r="J2" s="2" t="n"/>
      <c r="K2" s="5" t="inlineStr">
        <is>
          <t>Item</t>
        </is>
      </c>
      <c r="L2" s="6" t="inlineStr">
        <is>
          <t>Taxa pura</t>
        </is>
      </c>
      <c r="M2" s="7" t="inlineStr">
        <is>
          <t>Custo de Seguro</t>
        </is>
      </c>
      <c r="N2" s="4" t="inlineStr">
        <is>
          <t>Desc 50%</t>
        </is>
      </c>
      <c r="O2" s="8">
        <f>M5*50%</f>
        <v/>
      </c>
      <c r="P2" s="9" t="n"/>
      <c r="Q2" s="10" t="inlineStr">
        <is>
          <t xml:space="preserve">PARA  → </t>
        </is>
      </c>
      <c r="R2" s="10" t="inlineStr">
        <is>
          <t xml:space="preserve">AC </t>
        </is>
      </c>
      <c r="S2" s="10" t="inlineStr">
        <is>
          <t xml:space="preserve">AL </t>
        </is>
      </c>
      <c r="T2" s="10" t="inlineStr">
        <is>
          <t xml:space="preserve">AP </t>
        </is>
      </c>
      <c r="U2" s="10" t="inlineStr">
        <is>
          <t xml:space="preserve">AM </t>
        </is>
      </c>
      <c r="V2" s="10" t="inlineStr">
        <is>
          <t xml:space="preserve">BA </t>
        </is>
      </c>
      <c r="W2" s="10" t="inlineStr">
        <is>
          <t xml:space="preserve">CE </t>
        </is>
      </c>
      <c r="X2" s="10" t="inlineStr">
        <is>
          <t xml:space="preserve">DF </t>
        </is>
      </c>
      <c r="Y2" s="10" t="inlineStr">
        <is>
          <t xml:space="preserve">ES </t>
        </is>
      </c>
      <c r="Z2" s="10" t="inlineStr">
        <is>
          <t xml:space="preserve">GO </t>
        </is>
      </c>
      <c r="AA2" s="10" t="inlineStr">
        <is>
          <t xml:space="preserve">MA </t>
        </is>
      </c>
      <c r="AB2" s="10" t="inlineStr">
        <is>
          <t xml:space="preserve">MT </t>
        </is>
      </c>
      <c r="AC2" s="10" t="inlineStr">
        <is>
          <t xml:space="preserve">MS </t>
        </is>
      </c>
      <c r="AD2" s="10" t="inlineStr">
        <is>
          <t xml:space="preserve">MG </t>
        </is>
      </c>
      <c r="AE2" s="10" t="inlineStr">
        <is>
          <t xml:space="preserve">PA </t>
        </is>
      </c>
      <c r="AF2" s="10" t="inlineStr">
        <is>
          <t xml:space="preserve">PB </t>
        </is>
      </c>
      <c r="AG2" s="10" t="inlineStr">
        <is>
          <t xml:space="preserve">PR </t>
        </is>
      </c>
      <c r="AH2" s="10" t="inlineStr">
        <is>
          <t xml:space="preserve">PE </t>
        </is>
      </c>
      <c r="AI2" s="10" t="inlineStr">
        <is>
          <t xml:space="preserve">PI </t>
        </is>
      </c>
      <c r="AJ2" s="10" t="inlineStr">
        <is>
          <t xml:space="preserve">RJ </t>
        </is>
      </c>
      <c r="AK2" s="10" t="inlineStr">
        <is>
          <t xml:space="preserve">RN </t>
        </is>
      </c>
      <c r="AL2" s="10" t="inlineStr">
        <is>
          <t xml:space="preserve">RS </t>
        </is>
      </c>
      <c r="AM2" s="10" t="inlineStr">
        <is>
          <t xml:space="preserve">RO </t>
        </is>
      </c>
      <c r="AN2" s="10" t="inlineStr">
        <is>
          <t xml:space="preserve">RR </t>
        </is>
      </c>
      <c r="AO2" s="10" t="inlineStr">
        <is>
          <t xml:space="preserve">SC </t>
        </is>
      </c>
      <c r="AP2" s="11" t="inlineStr">
        <is>
          <t xml:space="preserve">SP </t>
        </is>
      </c>
      <c r="AQ2" s="10" t="inlineStr">
        <is>
          <t xml:space="preserve">SE </t>
        </is>
      </c>
      <c r="AR2" s="10" t="inlineStr">
        <is>
          <t xml:space="preserve">TO </t>
        </is>
      </c>
    </row>
    <row r="3">
      <c r="B3" s="182" t="inlineStr">
        <is>
          <t>ORÇAMENTO</t>
        </is>
      </c>
      <c r="C3" s="304" t="n"/>
      <c r="D3" s="304" t="n"/>
      <c r="E3" s="304" t="n"/>
      <c r="J3" s="2" t="n"/>
      <c r="K3" s="305" t="n">
        <v>1</v>
      </c>
      <c r="L3" s="306" t="n">
        <v>0.0025</v>
      </c>
      <c r="M3" s="307">
        <f>F17*L3</f>
        <v/>
      </c>
      <c r="N3" s="4" t="inlineStr">
        <is>
          <t>Total liq</t>
        </is>
      </c>
      <c r="O3" s="8">
        <f>M5-O2</f>
        <v/>
      </c>
      <c r="P3" s="4" t="n"/>
      <c r="Q3" s="12" t="inlineStr">
        <is>
          <t xml:space="preserve">DE  ↓ 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4" t="n"/>
      <c r="AQ3" s="13" t="n"/>
      <c r="AR3" s="13" t="n"/>
    </row>
    <row r="4" ht="15.75" customHeight="1" thickBot="1">
      <c r="B4" s="304" t="n"/>
      <c r="C4" s="304" t="n"/>
      <c r="D4" s="304" t="n"/>
      <c r="E4" s="304" t="n"/>
      <c r="J4" s="2" t="n"/>
      <c r="K4" s="308" t="n"/>
      <c r="L4" s="309" t="n"/>
      <c r="M4" s="310" t="n"/>
      <c r="N4" s="4" t="inlineStr">
        <is>
          <t>IOF</t>
        </is>
      </c>
      <c r="O4" s="8">
        <f>O3*7.38%</f>
        <v/>
      </c>
      <c r="P4" s="4" t="n"/>
      <c r="Q4" s="12" t="inlineStr">
        <is>
          <t xml:space="preserve"> Acre </t>
        </is>
      </c>
      <c r="R4" s="13" t="inlineStr">
        <is>
          <t xml:space="preserve">0,04 </t>
        </is>
      </c>
      <c r="S4" s="13" t="inlineStr">
        <is>
          <t xml:space="preserve">0,30 </t>
        </is>
      </c>
      <c r="T4" s="13" t="inlineStr">
        <is>
          <t xml:space="preserve">0,26 </t>
        </is>
      </c>
      <c r="U4" s="13" t="inlineStr">
        <is>
          <t xml:space="preserve">0,09 </t>
        </is>
      </c>
      <c r="V4" s="13" t="inlineStr">
        <is>
          <t xml:space="preserve">0,30 </t>
        </is>
      </c>
      <c r="W4" s="13" t="inlineStr">
        <is>
          <t xml:space="preserve">0,28 </t>
        </is>
      </c>
      <c r="X4" s="13" t="inlineStr">
        <is>
          <t xml:space="preserve">0,18 </t>
        </is>
      </c>
      <c r="Y4" s="13" t="inlineStr">
        <is>
          <t xml:space="preserve">0,26 </t>
        </is>
      </c>
      <c r="Z4" s="13" t="inlineStr">
        <is>
          <t xml:space="preserve">0,18 </t>
        </is>
      </c>
      <c r="AA4" s="13" t="inlineStr">
        <is>
          <t xml:space="preserve">0,28 </t>
        </is>
      </c>
      <c r="AB4" s="13" t="inlineStr">
        <is>
          <t xml:space="preserve">0,12 </t>
        </is>
      </c>
      <c r="AC4" s="13" t="inlineStr">
        <is>
          <t xml:space="preserve">0,16 </t>
        </is>
      </c>
      <c r="AD4" s="13" t="inlineStr">
        <is>
          <t xml:space="preserve">0,22 </t>
        </is>
      </c>
      <c r="AE4" s="13" t="inlineStr">
        <is>
          <t xml:space="preserve">0,24 </t>
        </is>
      </c>
      <c r="AF4" s="13" t="inlineStr">
        <is>
          <t xml:space="preserve">0,30 </t>
        </is>
      </c>
      <c r="AG4" s="13" t="inlineStr">
        <is>
          <t xml:space="preserve">0,24 </t>
        </is>
      </c>
      <c r="AH4" s="13" t="inlineStr">
        <is>
          <t xml:space="preserve">0,30 </t>
        </is>
      </c>
      <c r="AI4" s="13" t="inlineStr">
        <is>
          <t xml:space="preserve">0,26 </t>
        </is>
      </c>
      <c r="AJ4" s="13" t="inlineStr">
        <is>
          <t xml:space="preserve">0,26 </t>
        </is>
      </c>
      <c r="AK4" s="13" t="inlineStr">
        <is>
          <t xml:space="preserve">0,30 </t>
        </is>
      </c>
      <c r="AL4" s="13" t="inlineStr">
        <is>
          <t xml:space="preserve">0,28 </t>
        </is>
      </c>
      <c r="AM4" s="13" t="inlineStr">
        <is>
          <t xml:space="preserve">0,05 </t>
        </is>
      </c>
      <c r="AN4" s="13" t="inlineStr">
        <is>
          <t xml:space="preserve">0,14 </t>
        </is>
      </c>
      <c r="AO4" s="13" t="inlineStr">
        <is>
          <t xml:space="preserve">0,26 </t>
        </is>
      </c>
      <c r="AP4" s="14" t="inlineStr">
        <is>
          <t xml:space="preserve">0,24 </t>
        </is>
      </c>
      <c r="AQ4" s="13" t="inlineStr">
        <is>
          <t xml:space="preserve">0,30 </t>
        </is>
      </c>
      <c r="AR4" s="13" t="inlineStr">
        <is>
          <t xml:space="preserve">0,23 </t>
        </is>
      </c>
    </row>
    <row r="5" ht="13.8" customHeight="1" thickBot="1">
      <c r="B5" s="304" t="n"/>
      <c r="C5" s="304" t="n"/>
      <c r="D5" s="304" t="n"/>
      <c r="E5" s="304" t="n"/>
      <c r="J5" s="2" t="n"/>
      <c r="K5" s="2" t="n"/>
      <c r="L5" s="15" t="n"/>
      <c r="M5" s="311">
        <f>SUM(M3:M4)</f>
        <v/>
      </c>
      <c r="N5" s="4" t="inlineStr">
        <is>
          <t>Total</t>
        </is>
      </c>
      <c r="O5" s="8">
        <f>O3+O4</f>
        <v/>
      </c>
      <c r="P5" s="4" t="n"/>
      <c r="Q5" s="12" t="inlineStr">
        <is>
          <t xml:space="preserve"> Alagoas </t>
        </is>
      </c>
      <c r="R5" s="13" t="inlineStr">
        <is>
          <t xml:space="preserve">0,30 </t>
        </is>
      </c>
      <c r="S5" s="13" t="inlineStr">
        <is>
          <t xml:space="preserve">0,04 </t>
        </is>
      </c>
      <c r="T5" s="13" t="inlineStr">
        <is>
          <t xml:space="preserve">0,16 </t>
        </is>
      </c>
      <c r="U5" s="13" t="inlineStr">
        <is>
          <t xml:space="preserve">0,30 </t>
        </is>
      </c>
      <c r="V5" s="13" t="inlineStr">
        <is>
          <t xml:space="preserve">0,06 </t>
        </is>
      </c>
      <c r="W5" s="13" t="inlineStr">
        <is>
          <t xml:space="preserve">0,07 </t>
        </is>
      </c>
      <c r="X5" s="13" t="inlineStr">
        <is>
          <t xml:space="preserve">0,14 </t>
        </is>
      </c>
      <c r="Y5" s="13" t="inlineStr">
        <is>
          <t xml:space="preserve">0,11 </t>
        </is>
      </c>
      <c r="Z5" s="13" t="inlineStr">
        <is>
          <t xml:space="preserve">0,14 </t>
        </is>
      </c>
      <c r="AA5" s="13" t="inlineStr">
        <is>
          <t xml:space="preserve">0,10 </t>
        </is>
      </c>
      <c r="AB5" s="13" t="inlineStr">
        <is>
          <t xml:space="preserve">0,20 </t>
        </is>
      </c>
      <c r="AC5" s="13" t="inlineStr">
        <is>
          <t xml:space="preserve">0,22 </t>
        </is>
      </c>
      <c r="AD5" s="13" t="inlineStr">
        <is>
          <t xml:space="preserve">0,11 </t>
        </is>
      </c>
      <c r="AE5" s="13" t="inlineStr">
        <is>
          <t xml:space="preserve">0,14 </t>
        </is>
      </c>
      <c r="AF5" s="13" t="inlineStr">
        <is>
          <t xml:space="preserve">0,05 </t>
        </is>
      </c>
      <c r="AG5" s="13" t="inlineStr">
        <is>
          <t xml:space="preserve">0,18 </t>
        </is>
      </c>
      <c r="AH5" s="13" t="inlineStr">
        <is>
          <t xml:space="preserve">0,05 </t>
        </is>
      </c>
      <c r="AI5" s="13" t="inlineStr">
        <is>
          <t xml:space="preserve">0,08 </t>
        </is>
      </c>
      <c r="AJ5" s="13" t="inlineStr">
        <is>
          <t xml:space="preserve">0,14 </t>
        </is>
      </c>
      <c r="AK5" s="13" t="inlineStr">
        <is>
          <t xml:space="preserve">0,05 </t>
        </is>
      </c>
      <c r="AL5" s="13" t="inlineStr">
        <is>
          <t xml:space="preserve">0,22 </t>
        </is>
      </c>
      <c r="AM5" s="13" t="inlineStr">
        <is>
          <t xml:space="preserve">0,26 </t>
        </is>
      </c>
      <c r="AN5" s="13" t="inlineStr">
        <is>
          <t xml:space="preserve">0,32 </t>
        </is>
      </c>
      <c r="AO5" s="13" t="inlineStr">
        <is>
          <t xml:space="preserve">0,20 </t>
        </is>
      </c>
      <c r="AP5" s="14" t="inlineStr">
        <is>
          <t xml:space="preserve">0,16 </t>
        </is>
      </c>
      <c r="AQ5" s="13" t="inlineStr">
        <is>
          <t xml:space="preserve">0,05 </t>
        </is>
      </c>
      <c r="AR5" s="13" t="inlineStr">
        <is>
          <t xml:space="preserve">0,12 </t>
        </is>
      </c>
    </row>
    <row r="6" ht="13.8" customHeight="1" thickBot="1">
      <c r="J6" s="312" t="inlineStr">
        <is>
          <t xml:space="preserve">ITEM 1 </t>
        </is>
      </c>
      <c r="K6" s="313" t="n"/>
      <c r="L6" s="17" t="n"/>
      <c r="M6" s="18" t="n"/>
      <c r="N6" s="3" t="n"/>
      <c r="O6" s="19" t="inlineStr"/>
      <c r="P6" s="4" t="n"/>
      <c r="Q6" s="12" t="inlineStr">
        <is>
          <t xml:space="preserve"> Amapá </t>
        </is>
      </c>
      <c r="R6" s="13" t="inlineStr">
        <is>
          <t xml:space="preserve">0,26 </t>
        </is>
      </c>
      <c r="S6" s="13" t="inlineStr">
        <is>
          <t xml:space="preserve">0,16 </t>
        </is>
      </c>
      <c r="T6" s="13" t="inlineStr">
        <is>
          <t xml:space="preserve">0,08 </t>
        </is>
      </c>
      <c r="U6" s="13" t="inlineStr">
        <is>
          <t xml:space="preserve">0,26 </t>
        </is>
      </c>
      <c r="V6" s="13" t="inlineStr">
        <is>
          <t xml:space="preserve">0,16 </t>
        </is>
      </c>
      <c r="W6" s="13" t="inlineStr">
        <is>
          <t xml:space="preserve">0,11 </t>
        </is>
      </c>
      <c r="X6" s="13" t="inlineStr">
        <is>
          <t xml:space="preserve">0,14 </t>
        </is>
      </c>
      <c r="Y6" s="13" t="inlineStr">
        <is>
          <t xml:space="preserve">0,22 </t>
        </is>
      </c>
      <c r="Z6" s="13" t="inlineStr">
        <is>
          <t xml:space="preserve">0,14 </t>
        </is>
      </c>
      <c r="AA6" s="13" t="inlineStr">
        <is>
          <t xml:space="preserve">0,09 </t>
        </is>
      </c>
      <c r="AB6" s="13" t="inlineStr">
        <is>
          <t xml:space="preserve">0,20 </t>
        </is>
      </c>
      <c r="AC6" s="13" t="inlineStr">
        <is>
          <t xml:space="preserve">0,26 </t>
        </is>
      </c>
      <c r="AD6" s="13" t="inlineStr">
        <is>
          <t xml:space="preserve">0,20 </t>
        </is>
      </c>
      <c r="AE6" s="13" t="inlineStr">
        <is>
          <t xml:space="preserve">0,09 </t>
        </is>
      </c>
      <c r="AF6" s="13" t="inlineStr">
        <is>
          <t xml:space="preserve">0,16 </t>
        </is>
      </c>
      <c r="AG6" s="13" t="inlineStr">
        <is>
          <t xml:space="preserve">0,22 </t>
        </is>
      </c>
      <c r="AH6" s="13" t="inlineStr">
        <is>
          <t xml:space="preserve">0,16 </t>
        </is>
      </c>
      <c r="AI6" s="13" t="inlineStr">
        <is>
          <t xml:space="preserve">0,09 </t>
        </is>
      </c>
      <c r="AJ6" s="13" t="inlineStr">
        <is>
          <t xml:space="preserve">0,22 </t>
        </is>
      </c>
      <c r="AK6" s="13" t="inlineStr">
        <is>
          <t xml:space="preserve">0,16 </t>
        </is>
      </c>
      <c r="AL6" s="13" t="inlineStr">
        <is>
          <t xml:space="preserve">0,28 </t>
        </is>
      </c>
      <c r="AM6" s="13" t="inlineStr">
        <is>
          <t xml:space="preserve">0,22 </t>
        </is>
      </c>
      <c r="AN6" s="13" t="inlineStr">
        <is>
          <t xml:space="preserve">0,30 </t>
        </is>
      </c>
      <c r="AO6" s="13" t="inlineStr">
        <is>
          <t xml:space="preserve">0,24 </t>
        </is>
      </c>
      <c r="AP6" s="14" t="inlineStr">
        <is>
          <t xml:space="preserve">0,20 </t>
        </is>
      </c>
      <c r="AQ6" s="13" t="inlineStr">
        <is>
          <t xml:space="preserve">0,16 </t>
        </is>
      </c>
      <c r="AR6" s="13" t="inlineStr">
        <is>
          <t xml:space="preserve">0,13 </t>
        </is>
      </c>
    </row>
    <row r="7">
      <c r="J7" s="51" t="inlineStr">
        <is>
          <t>CARRETA 1</t>
        </is>
      </c>
      <c r="K7" s="314" t="n"/>
      <c r="L7" s="20" t="n"/>
      <c r="M7" s="18" t="n"/>
      <c r="N7" s="3" t="n"/>
      <c r="O7" s="4" t="n"/>
      <c r="P7" s="4" t="n"/>
      <c r="Q7" s="12" t="inlineStr">
        <is>
          <t xml:space="preserve"> Amazonas </t>
        </is>
      </c>
      <c r="R7" s="13" t="inlineStr">
        <is>
          <t xml:space="preserve">0,09 </t>
        </is>
      </c>
      <c r="S7" s="13" t="inlineStr">
        <is>
          <t xml:space="preserve">0,30 </t>
        </is>
      </c>
      <c r="T7" s="13" t="inlineStr">
        <is>
          <t xml:space="preserve">0,26 </t>
        </is>
      </c>
      <c r="U7" s="13" t="inlineStr">
        <is>
          <t xml:space="preserve">0,08 </t>
        </is>
      </c>
      <c r="V7" s="13" t="inlineStr">
        <is>
          <t xml:space="preserve">0,30 </t>
        </is>
      </c>
      <c r="W7" s="13" t="inlineStr">
        <is>
          <t xml:space="preserve">0,28 </t>
        </is>
      </c>
      <c r="X7" s="13" t="inlineStr">
        <is>
          <t xml:space="preserve">0,20 </t>
        </is>
      </c>
      <c r="Y7" s="13" t="inlineStr">
        <is>
          <t xml:space="preserve">0,28 </t>
        </is>
      </c>
      <c r="Z7" s="13" t="inlineStr">
        <is>
          <t xml:space="preserve">0,20 </t>
        </is>
      </c>
      <c r="AA7" s="13" t="inlineStr">
        <is>
          <t xml:space="preserve">0,28 </t>
        </is>
      </c>
      <c r="AB7" s="13" t="inlineStr">
        <is>
          <t xml:space="preserve">0,18 </t>
        </is>
      </c>
      <c r="AC7" s="13" t="inlineStr">
        <is>
          <t xml:space="preserve">0,20 </t>
        </is>
      </c>
      <c r="AD7" s="13" t="inlineStr">
        <is>
          <t xml:space="preserve">0,24 </t>
        </is>
      </c>
      <c r="AE7" s="13" t="inlineStr">
        <is>
          <t xml:space="preserve">0,24 </t>
        </is>
      </c>
      <c r="AF7" s="13" t="inlineStr">
        <is>
          <t xml:space="preserve">0,30 </t>
        </is>
      </c>
      <c r="AG7" s="13" t="inlineStr">
        <is>
          <t xml:space="preserve">0,26 </t>
        </is>
      </c>
      <c r="AH7" s="13" t="inlineStr">
        <is>
          <t xml:space="preserve">0,30 </t>
        </is>
      </c>
      <c r="AI7" s="13" t="inlineStr">
        <is>
          <t xml:space="preserve">0,24 </t>
        </is>
      </c>
      <c r="AJ7" s="13" t="inlineStr">
        <is>
          <t xml:space="preserve">0,28 </t>
        </is>
      </c>
      <c r="AK7" s="13" t="inlineStr">
        <is>
          <t xml:space="preserve">0,30 </t>
        </is>
      </c>
      <c r="AL7" s="13" t="inlineStr">
        <is>
          <t xml:space="preserve">0,30 </t>
        </is>
      </c>
      <c r="AM7" s="13" t="inlineStr">
        <is>
          <t xml:space="preserve">0,09 </t>
        </is>
      </c>
      <c r="AN7" s="13" t="inlineStr">
        <is>
          <t xml:space="preserve">0,09 </t>
        </is>
      </c>
      <c r="AO7" s="13" t="inlineStr">
        <is>
          <t xml:space="preserve">0,28 </t>
        </is>
      </c>
      <c r="AP7" s="14" t="inlineStr">
        <is>
          <t xml:space="preserve">0,26 </t>
        </is>
      </c>
      <c r="AQ7" s="13" t="inlineStr">
        <is>
          <t xml:space="preserve">0,32 </t>
        </is>
      </c>
      <c r="AR7" s="13" t="inlineStr">
        <is>
          <t xml:space="preserve">0,20 </t>
        </is>
      </c>
    </row>
    <row r="8">
      <c r="J8" s="53" t="inlineStr">
        <is>
          <t>CARRETA 2</t>
        </is>
      </c>
      <c r="K8" s="315" t="n"/>
      <c r="L8" s="20" t="n"/>
      <c r="M8" s="21" t="inlineStr">
        <is>
          <t>TOTAL DE DESPESAS</t>
        </is>
      </c>
      <c r="N8" s="3" t="n"/>
      <c r="O8" s="316" t="n"/>
      <c r="P8" s="4" t="n"/>
      <c r="Q8" s="12" t="inlineStr">
        <is>
          <t xml:space="preserve"> Bahia </t>
        </is>
      </c>
      <c r="R8" s="13" t="inlineStr">
        <is>
          <t xml:space="preserve">0,30 </t>
        </is>
      </c>
      <c r="S8" s="13" t="inlineStr">
        <is>
          <t xml:space="preserve">0,06 </t>
        </is>
      </c>
      <c r="T8" s="13" t="inlineStr">
        <is>
          <t xml:space="preserve">0,16 </t>
        </is>
      </c>
      <c r="U8" s="13" t="inlineStr">
        <is>
          <t xml:space="preserve">0,30 </t>
        </is>
      </c>
      <c r="V8" s="13" t="inlineStr">
        <is>
          <t xml:space="preserve">0,05 </t>
        </is>
      </c>
      <c r="W8" s="13" t="inlineStr">
        <is>
          <t xml:space="preserve">0,08 </t>
        </is>
      </c>
      <c r="X8" s="13" t="inlineStr">
        <is>
          <t xml:space="preserve">0,14 </t>
        </is>
      </c>
      <c r="Y8" s="13" t="inlineStr">
        <is>
          <t xml:space="preserve">0,08 </t>
        </is>
      </c>
      <c r="Z8" s="13" t="inlineStr">
        <is>
          <t xml:space="preserve">0,14 </t>
        </is>
      </c>
      <c r="AA8" s="13" t="inlineStr">
        <is>
          <t xml:space="preserve">0,10 </t>
        </is>
      </c>
      <c r="AB8" s="13" t="inlineStr">
        <is>
          <t xml:space="preserve">0,16 </t>
        </is>
      </c>
      <c r="AC8" s="13" t="inlineStr">
        <is>
          <t xml:space="preserve">0,18 </t>
        </is>
      </c>
      <c r="AD8" s="13" t="inlineStr">
        <is>
          <t xml:space="preserve">0,09 </t>
        </is>
      </c>
      <c r="AE8" s="13" t="inlineStr">
        <is>
          <t xml:space="preserve">0,12 </t>
        </is>
      </c>
      <c r="AF8" s="13" t="inlineStr">
        <is>
          <t xml:space="preserve">0,07 </t>
        </is>
      </c>
      <c r="AG8" s="13" t="inlineStr">
        <is>
          <t xml:space="preserve">0,14 </t>
        </is>
      </c>
      <c r="AH8" s="13" t="inlineStr">
        <is>
          <t xml:space="preserve">0,06 </t>
        </is>
      </c>
      <c r="AI8" s="13" t="inlineStr">
        <is>
          <t xml:space="preserve">0,08 </t>
        </is>
      </c>
      <c r="AJ8" s="13" t="inlineStr">
        <is>
          <t xml:space="preserve">0,10 </t>
        </is>
      </c>
      <c r="AK8" s="13" t="inlineStr">
        <is>
          <t xml:space="preserve">0,08 </t>
        </is>
      </c>
      <c r="AL8" s="13" t="inlineStr">
        <is>
          <t xml:space="preserve">0,18 </t>
        </is>
      </c>
      <c r="AM8" s="13" t="inlineStr">
        <is>
          <t xml:space="preserve">0,26 </t>
        </is>
      </c>
      <c r="AN8" s="13" t="inlineStr">
        <is>
          <t xml:space="preserve">0,32 </t>
        </is>
      </c>
      <c r="AO8" s="13" t="inlineStr">
        <is>
          <t xml:space="preserve">0,16 </t>
        </is>
      </c>
      <c r="AP8" s="14" t="inlineStr">
        <is>
          <t xml:space="preserve">0,12 </t>
        </is>
      </c>
      <c r="AQ8" s="13" t="inlineStr">
        <is>
          <t xml:space="preserve">0,06 </t>
        </is>
      </c>
      <c r="AR8" s="13" t="inlineStr">
        <is>
          <t xml:space="preserve">0,11 </t>
        </is>
      </c>
    </row>
    <row r="9">
      <c r="A9" s="1" t="inlineStr">
        <is>
          <t xml:space="preserve">São Bernardo do Campo, </t>
        </is>
      </c>
      <c r="C9" s="317">
        <f>TODAY()</f>
        <v/>
      </c>
      <c r="D9" s="304" t="n"/>
      <c r="E9" s="304" t="n"/>
      <c r="F9" s="304" t="n"/>
      <c r="G9" s="304" t="n"/>
      <c r="J9" s="53" t="inlineStr">
        <is>
          <t>CARRETA 3</t>
        </is>
      </c>
      <c r="K9" s="318" t="n"/>
      <c r="L9" s="319" t="n"/>
      <c r="M9" s="319">
        <f>SUM(K7:K12)</f>
        <v/>
      </c>
      <c r="N9" s="320" t="n"/>
      <c r="O9" s="4" t="n"/>
      <c r="P9" s="4" t="n"/>
      <c r="Q9" s="12" t="inlineStr">
        <is>
          <t xml:space="preserve"> Ceará </t>
        </is>
      </c>
      <c r="R9" s="13" t="inlineStr">
        <is>
          <t xml:space="preserve">0,28 </t>
        </is>
      </c>
      <c r="S9" s="13" t="inlineStr">
        <is>
          <t xml:space="preserve">0,07 </t>
        </is>
      </c>
      <c r="T9" s="13" t="inlineStr">
        <is>
          <t xml:space="preserve">0,11 </t>
        </is>
      </c>
      <c r="U9" s="13" t="inlineStr">
        <is>
          <t xml:space="preserve">0,28 </t>
        </is>
      </c>
      <c r="V9" s="13" t="inlineStr">
        <is>
          <t xml:space="preserve">0,08 </t>
        </is>
      </c>
      <c r="W9" s="13" t="inlineStr">
        <is>
          <t xml:space="preserve">0,04 </t>
        </is>
      </c>
      <c r="X9" s="13" t="inlineStr">
        <is>
          <t xml:space="preserve">0,18 </t>
        </is>
      </c>
      <c r="Y9" s="13" t="inlineStr">
        <is>
          <t xml:space="preserve">0,14 </t>
        </is>
      </c>
      <c r="Z9" s="13" t="inlineStr">
        <is>
          <t xml:space="preserve">0,18 </t>
        </is>
      </c>
      <c r="AA9" s="13" t="inlineStr">
        <is>
          <t xml:space="preserve">0,07 </t>
        </is>
      </c>
      <c r="AB9" s="13" t="inlineStr">
        <is>
          <t xml:space="preserve">0,24 </t>
        </is>
      </c>
      <c r="AC9" s="13" t="inlineStr">
        <is>
          <t xml:space="preserve">0,24 </t>
        </is>
      </c>
      <c r="AD9" s="13" t="inlineStr">
        <is>
          <t xml:space="preserve">0,16 </t>
        </is>
      </c>
      <c r="AE9" s="13" t="inlineStr">
        <is>
          <t xml:space="preserve">0,10 </t>
        </is>
      </c>
      <c r="AF9" s="13" t="inlineStr">
        <is>
          <t xml:space="preserve">0,05 </t>
        </is>
      </c>
      <c r="AG9" s="13" t="inlineStr">
        <is>
          <t xml:space="preserve">0,22 </t>
        </is>
      </c>
      <c r="AH9" s="13" t="inlineStr">
        <is>
          <t xml:space="preserve">0,06 </t>
        </is>
      </c>
      <c r="AI9" s="13" t="inlineStr">
        <is>
          <t xml:space="preserve">0,07 </t>
        </is>
      </c>
      <c r="AJ9" s="13" t="inlineStr">
        <is>
          <t xml:space="preserve">0,18 </t>
        </is>
      </c>
      <c r="AK9" s="13" t="inlineStr">
        <is>
          <t xml:space="preserve">0,05 </t>
        </is>
      </c>
      <c r="AL9" s="13" t="inlineStr">
        <is>
          <t xml:space="preserve">0,26 </t>
        </is>
      </c>
      <c r="AM9" s="13" t="inlineStr">
        <is>
          <t xml:space="preserve">0,26 </t>
        </is>
      </c>
      <c r="AN9" s="13" t="inlineStr">
        <is>
          <t xml:space="preserve">0,32 </t>
        </is>
      </c>
      <c r="AO9" s="13" t="inlineStr">
        <is>
          <t xml:space="preserve">0,24 </t>
        </is>
      </c>
      <c r="AP9" s="14" t="inlineStr">
        <is>
          <t xml:space="preserve">0,20 </t>
        </is>
      </c>
      <c r="AQ9" s="13" t="inlineStr">
        <is>
          <t xml:space="preserve">0,08 </t>
        </is>
      </c>
      <c r="AR9" s="13" t="inlineStr">
        <is>
          <t xml:space="preserve">0,13 </t>
        </is>
      </c>
    </row>
    <row r="10">
      <c r="A10" t="inlineStr">
        <is>
          <t>Cliente: HENRIQUE   |   Tel: 11 98992-4918</t>
        </is>
      </c>
      <c r="J10" s="53" t="inlineStr">
        <is>
          <t>COLETA</t>
        </is>
      </c>
      <c r="K10" s="318" t="n"/>
      <c r="L10" s="321" t="n"/>
      <c r="M10" s="319" t="n"/>
      <c r="N10" s="26" t="n"/>
      <c r="O10" s="4" t="n"/>
      <c r="P10" s="4" t="n"/>
      <c r="Q10" s="12" t="inlineStr">
        <is>
          <t xml:space="preserve"> Distrito Federal </t>
        </is>
      </c>
      <c r="R10" s="13" t="inlineStr">
        <is>
          <t xml:space="preserve">0,18 </t>
        </is>
      </c>
      <c r="S10" s="13" t="inlineStr">
        <is>
          <t xml:space="preserve">0,14 </t>
        </is>
      </c>
      <c r="T10" s="13" t="inlineStr">
        <is>
          <t xml:space="preserve">0,14 </t>
        </is>
      </c>
      <c r="U10" s="13" t="inlineStr">
        <is>
          <t xml:space="preserve">0,20 </t>
        </is>
      </c>
      <c r="V10" s="13" t="inlineStr">
        <is>
          <t xml:space="preserve">0,14 </t>
        </is>
      </c>
      <c r="W10" s="13" t="inlineStr">
        <is>
          <t xml:space="preserve">0,18 </t>
        </is>
      </c>
      <c r="X10" s="13" t="inlineStr">
        <is>
          <t xml:space="preserve">0,03 </t>
        </is>
      </c>
      <c r="Y10" s="13" t="inlineStr">
        <is>
          <t xml:space="preserve">0,09 </t>
        </is>
      </c>
      <c r="Z10" s="13" t="inlineStr">
        <is>
          <t xml:space="preserve">0,05 </t>
        </is>
      </c>
      <c r="AA10" s="13" t="inlineStr">
        <is>
          <t xml:space="preserve">0,16 </t>
        </is>
      </c>
      <c r="AB10" s="13" t="inlineStr">
        <is>
          <t xml:space="preserve">0,07 </t>
        </is>
      </c>
      <c r="AC10" s="13" t="inlineStr">
        <is>
          <t xml:space="preserve">0,08 </t>
        </is>
      </c>
      <c r="AD10" s="13" t="inlineStr">
        <is>
          <t xml:space="preserve">0,06 </t>
        </is>
      </c>
      <c r="AE10" s="13" t="inlineStr">
        <is>
          <t xml:space="preserve">0,12 </t>
        </is>
      </c>
      <c r="AF10" s="13" t="inlineStr">
        <is>
          <t xml:space="preserve">0,16 </t>
        </is>
      </c>
      <c r="AG10" s="13" t="inlineStr">
        <is>
          <t xml:space="preserve">0,09 </t>
        </is>
      </c>
      <c r="AH10" s="13" t="inlineStr">
        <is>
          <t xml:space="preserve">0,16 </t>
        </is>
      </c>
      <c r="AI10" s="13" t="inlineStr">
        <is>
          <t xml:space="preserve">0,18 </t>
        </is>
      </c>
      <c r="AJ10" s="13" t="inlineStr">
        <is>
          <t xml:space="preserve">0,09 </t>
        </is>
      </c>
      <c r="AK10" s="13" t="inlineStr">
        <is>
          <t xml:space="preserve">0,18 </t>
        </is>
      </c>
      <c r="AL10" s="13" t="inlineStr">
        <is>
          <t xml:space="preserve">0,11 </t>
        </is>
      </c>
      <c r="AM10" s="13" t="inlineStr">
        <is>
          <t xml:space="preserve">0,14 </t>
        </is>
      </c>
      <c r="AN10" s="13" t="inlineStr">
        <is>
          <t xml:space="preserve">0,26 </t>
        </is>
      </c>
      <c r="AO10" s="13" t="inlineStr">
        <is>
          <t xml:space="preserve">0,09 </t>
        </is>
      </c>
      <c r="AP10" s="14" t="inlineStr">
        <is>
          <t xml:space="preserve">0,06 </t>
        </is>
      </c>
      <c r="AQ10" s="13" t="inlineStr">
        <is>
          <t xml:space="preserve">0,12 </t>
        </is>
      </c>
      <c r="AR10" s="13" t="inlineStr">
        <is>
          <t xml:space="preserve">0,07 </t>
        </is>
      </c>
    </row>
    <row r="11">
      <c r="A11" s="155" t="n"/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53" t="inlineStr">
        <is>
          <t>ENTREGA</t>
        </is>
      </c>
      <c r="K11" s="315" t="n"/>
      <c r="L11" s="321" t="n"/>
      <c r="M11" s="2" t="n"/>
      <c r="O11" s="4" t="n"/>
      <c r="P11" s="4" t="n"/>
      <c r="Q11" s="12" t="inlineStr">
        <is>
          <t xml:space="preserve"> Espirito Santo </t>
        </is>
      </c>
      <c r="R11" s="13" t="inlineStr">
        <is>
          <t xml:space="preserve">0,26 </t>
        </is>
      </c>
      <c r="S11" s="13" t="inlineStr">
        <is>
          <t xml:space="preserve">0,11 </t>
        </is>
      </c>
      <c r="T11" s="13" t="inlineStr">
        <is>
          <t xml:space="preserve">0,22 </t>
        </is>
      </c>
      <c r="U11" s="13" t="inlineStr">
        <is>
          <t xml:space="preserve">0,28 </t>
        </is>
      </c>
      <c r="V11" s="13" t="inlineStr">
        <is>
          <t xml:space="preserve">0,08 </t>
        </is>
      </c>
      <c r="W11" s="13" t="inlineStr">
        <is>
          <t xml:space="preserve">0,14 </t>
        </is>
      </c>
      <c r="X11" s="13" t="inlineStr">
        <is>
          <t xml:space="preserve">0,09 </t>
        </is>
      </c>
      <c r="Y11" s="13" t="inlineStr">
        <is>
          <t xml:space="preserve">0,03 </t>
        </is>
      </c>
      <c r="Z11" s="13" t="inlineStr">
        <is>
          <t xml:space="preserve">0,09 </t>
        </is>
      </c>
      <c r="AA11" s="13" t="inlineStr">
        <is>
          <t xml:space="preserve">0,16 </t>
        </is>
      </c>
      <c r="AB11" s="13" t="inlineStr">
        <is>
          <t xml:space="preserve">0,14 </t>
        </is>
      </c>
      <c r="AC11" s="13" t="inlineStr">
        <is>
          <t xml:space="preserve">0,12 </t>
        </is>
      </c>
      <c r="AD11" s="13" t="inlineStr">
        <is>
          <t xml:space="preserve">0,05 </t>
        </is>
      </c>
      <c r="AE11" s="13" t="inlineStr">
        <is>
          <t xml:space="preserve">0,20 </t>
        </is>
      </c>
      <c r="AF11" s="13" t="inlineStr">
        <is>
          <t xml:space="preserve">0,12 </t>
        </is>
      </c>
      <c r="AG11" s="13" t="inlineStr">
        <is>
          <t xml:space="preserve">0,09 </t>
        </is>
      </c>
      <c r="AH11" s="13" t="inlineStr">
        <is>
          <t xml:space="preserve">0,12 </t>
        </is>
      </c>
      <c r="AI11" s="13" t="inlineStr">
        <is>
          <t xml:space="preserve">0,14 </t>
        </is>
      </c>
      <c r="AJ11" s="13" t="inlineStr">
        <is>
          <t xml:space="preserve">0,04 </t>
        </is>
      </c>
      <c r="AK11" s="13" t="inlineStr">
        <is>
          <t xml:space="preserve">0,14 </t>
        </is>
      </c>
      <c r="AL11" s="13" t="inlineStr">
        <is>
          <t xml:space="preserve">0,12 </t>
        </is>
      </c>
      <c r="AM11" s="13" t="inlineStr">
        <is>
          <t xml:space="preserve">0,22 </t>
        </is>
      </c>
      <c r="AN11" s="13" t="inlineStr">
        <is>
          <t xml:space="preserve">0,32 </t>
        </is>
      </c>
      <c r="AO11" s="13" t="inlineStr">
        <is>
          <t xml:space="preserve">0,10 </t>
        </is>
      </c>
      <c r="AP11" s="14" t="inlineStr">
        <is>
          <t xml:space="preserve">0,07 </t>
        </is>
      </c>
      <c r="AQ11" s="13" t="inlineStr">
        <is>
          <t xml:space="preserve">0,09 </t>
        </is>
      </c>
      <c r="AR11" s="13" t="inlineStr">
        <is>
          <t xml:space="preserve">0,14 </t>
        </is>
      </c>
    </row>
    <row r="12" ht="13.8" customHeight="1" thickBot="1">
      <c r="A12" s="27" t="inlineStr">
        <is>
          <t>Referente à: TRANSPORTE DE VEICULOS</t>
        </is>
      </c>
      <c r="B12" s="28" t="n"/>
      <c r="J12" s="59" t="inlineStr">
        <is>
          <t>SEGURO</t>
        </is>
      </c>
      <c r="K12" s="322">
        <f>M3</f>
        <v/>
      </c>
      <c r="L12" s="2" t="n"/>
      <c r="M12" s="29" t="n"/>
      <c r="N12" s="4" t="n"/>
      <c r="O12" s="4" t="n"/>
      <c r="P12" s="4" t="n"/>
      <c r="Q12" s="12" t="inlineStr">
        <is>
          <t xml:space="preserve"> Goiás </t>
        </is>
      </c>
      <c r="R12" s="13" t="inlineStr">
        <is>
          <t xml:space="preserve">0,18 </t>
        </is>
      </c>
      <c r="S12" s="13" t="inlineStr">
        <is>
          <t xml:space="preserve">0,14 </t>
        </is>
      </c>
      <c r="T12" s="13" t="inlineStr">
        <is>
          <t xml:space="preserve">0,14 </t>
        </is>
      </c>
      <c r="U12" s="13" t="inlineStr">
        <is>
          <t xml:space="preserve">0,20 </t>
        </is>
      </c>
      <c r="V12" s="13" t="inlineStr">
        <is>
          <t xml:space="preserve">0,14 </t>
        </is>
      </c>
      <c r="W12" s="13" t="inlineStr">
        <is>
          <t xml:space="preserve">0,18 </t>
        </is>
      </c>
      <c r="X12" s="13" t="inlineStr">
        <is>
          <t xml:space="preserve">0,05 </t>
        </is>
      </c>
      <c r="Y12" s="13" t="inlineStr">
        <is>
          <t xml:space="preserve">0,09 </t>
        </is>
      </c>
      <c r="Z12" s="13" t="inlineStr">
        <is>
          <t xml:space="preserve">0,05 </t>
        </is>
      </c>
      <c r="AA12" s="13" t="inlineStr">
        <is>
          <t xml:space="preserve">0,16 </t>
        </is>
      </c>
      <c r="AB12" s="13" t="inlineStr">
        <is>
          <t xml:space="preserve">0,07 </t>
        </is>
      </c>
      <c r="AC12" s="13" t="inlineStr">
        <is>
          <t xml:space="preserve">0,08 </t>
        </is>
      </c>
      <c r="AD12" s="13" t="inlineStr">
        <is>
          <t xml:space="preserve">0,06 </t>
        </is>
      </c>
      <c r="AE12" s="13" t="inlineStr">
        <is>
          <t xml:space="preserve">0,12 </t>
        </is>
      </c>
      <c r="AF12" s="13" t="inlineStr">
        <is>
          <t xml:space="preserve">0,16 </t>
        </is>
      </c>
      <c r="AG12" s="13" t="inlineStr">
        <is>
          <t xml:space="preserve">0,09 </t>
        </is>
      </c>
      <c r="AH12" s="13" t="inlineStr">
        <is>
          <t xml:space="preserve">0,16 </t>
        </is>
      </c>
      <c r="AI12" s="13" t="inlineStr">
        <is>
          <t xml:space="preserve">0,18 </t>
        </is>
      </c>
      <c r="AJ12" s="13" t="inlineStr">
        <is>
          <t xml:space="preserve">0,09 </t>
        </is>
      </c>
      <c r="AK12" s="13" t="inlineStr">
        <is>
          <t xml:space="preserve">0,18 </t>
        </is>
      </c>
      <c r="AL12" s="13" t="inlineStr">
        <is>
          <t xml:space="preserve">0,11 </t>
        </is>
      </c>
      <c r="AM12" s="13" t="inlineStr">
        <is>
          <t xml:space="preserve">0,14 </t>
        </is>
      </c>
      <c r="AN12" s="13" t="inlineStr">
        <is>
          <t xml:space="preserve">0,26 </t>
        </is>
      </c>
      <c r="AO12" s="13" t="inlineStr">
        <is>
          <t xml:space="preserve">0,09 </t>
        </is>
      </c>
      <c r="AP12" s="14" t="inlineStr">
        <is>
          <t xml:space="preserve">0,06 </t>
        </is>
      </c>
      <c r="AQ12" s="13" t="inlineStr">
        <is>
          <t xml:space="preserve">0,12 </t>
        </is>
      </c>
      <c r="AR12" s="13" t="inlineStr">
        <is>
          <t xml:space="preserve">0,08 </t>
        </is>
      </c>
    </row>
    <row r="13" ht="15" customHeight="1">
      <c r="G13" s="1" t="inlineStr">
        <is>
          <t> </t>
        </is>
      </c>
      <c r="J13" s="51" t="inlineStr">
        <is>
          <t>CTE 1</t>
        </is>
      </c>
      <c r="K13" s="323">
        <f>M22*0.12</f>
        <v/>
      </c>
      <c r="L13" s="324" t="n"/>
      <c r="M13" s="325" t="n"/>
      <c r="N13" s="26" t="n"/>
      <c r="O13" s="4" t="n"/>
      <c r="P13" s="4" t="n"/>
      <c r="Q13" s="12" t="inlineStr">
        <is>
          <t xml:space="preserve"> Maranhao </t>
        </is>
      </c>
      <c r="R13" s="13" t="inlineStr">
        <is>
          <t xml:space="preserve">0,28 </t>
        </is>
      </c>
      <c r="S13" s="13" t="inlineStr">
        <is>
          <t xml:space="preserve">0,10 </t>
        </is>
      </c>
      <c r="T13" s="13" t="inlineStr">
        <is>
          <t xml:space="preserve">0,09 </t>
        </is>
      </c>
      <c r="U13" s="13" t="inlineStr">
        <is>
          <t xml:space="preserve">0,28 </t>
        </is>
      </c>
      <c r="V13" s="13" t="inlineStr">
        <is>
          <t xml:space="preserve">0,10 </t>
        </is>
      </c>
      <c r="W13" s="13" t="inlineStr">
        <is>
          <t xml:space="preserve">0,07 </t>
        </is>
      </c>
      <c r="X13" s="13" t="inlineStr">
        <is>
          <t xml:space="preserve">0,16 </t>
        </is>
      </c>
      <c r="Y13" s="13" t="inlineStr">
        <is>
          <t xml:space="preserve">0,16 </t>
        </is>
      </c>
      <c r="Z13" s="13" t="inlineStr">
        <is>
          <t xml:space="preserve">0,16 </t>
        </is>
      </c>
      <c r="AA13" s="13" t="inlineStr">
        <is>
          <t xml:space="preserve">0,06 </t>
        </is>
      </c>
      <c r="AB13" s="13" t="inlineStr">
        <is>
          <t xml:space="preserve">0,20 </t>
        </is>
      </c>
      <c r="AC13" s="13" t="inlineStr">
        <is>
          <t xml:space="preserve">0,24 </t>
        </is>
      </c>
      <c r="AD13" s="13" t="inlineStr">
        <is>
          <t xml:space="preserve">0,16 </t>
        </is>
      </c>
      <c r="AE13" s="13" t="inlineStr">
        <is>
          <t xml:space="preserve">0,09 </t>
        </is>
      </c>
      <c r="AF13" s="13" t="inlineStr">
        <is>
          <t xml:space="preserve">0,11 </t>
        </is>
      </c>
      <c r="AG13" s="13" t="inlineStr">
        <is>
          <t xml:space="preserve">0,24 </t>
        </is>
      </c>
      <c r="AH13" s="13" t="inlineStr">
        <is>
          <t xml:space="preserve">0,10 </t>
        </is>
      </c>
      <c r="AI13" s="13" t="inlineStr">
        <is>
          <t xml:space="preserve">0,07 </t>
        </is>
      </c>
      <c r="AJ13" s="13" t="inlineStr">
        <is>
          <t xml:space="preserve">0,20 </t>
        </is>
      </c>
      <c r="AK13" s="13" t="inlineStr">
        <is>
          <t xml:space="preserve">0,10 </t>
        </is>
      </c>
      <c r="AL13" s="13" t="inlineStr">
        <is>
          <t xml:space="preserve">0,28 </t>
        </is>
      </c>
      <c r="AM13" s="13" t="inlineStr">
        <is>
          <t xml:space="preserve">0,24 </t>
        </is>
      </c>
      <c r="AN13" s="13" t="inlineStr">
        <is>
          <t xml:space="preserve">0,32 </t>
        </is>
      </c>
      <c r="AO13" s="13" t="inlineStr">
        <is>
          <t xml:space="preserve">0,26 </t>
        </is>
      </c>
      <c r="AP13" s="14" t="inlineStr">
        <is>
          <t xml:space="preserve">0,20 </t>
        </is>
      </c>
      <c r="AQ13" s="13" t="inlineStr">
        <is>
          <t xml:space="preserve">0,11 </t>
        </is>
      </c>
      <c r="AR13" s="13" t="inlineStr">
        <is>
          <t xml:space="preserve">0,11 </t>
        </is>
      </c>
    </row>
    <row r="14" ht="15" customHeight="1" thickBot="1">
      <c r="A14" s="1" t="inlineStr">
        <is>
          <t>1 - Dados do Veículo a ser transportado:</t>
        </is>
      </c>
      <c r="J14" s="57" t="inlineStr">
        <is>
          <t>CTE 2</t>
        </is>
      </c>
      <c r="K14" s="326">
        <f>(M22+K10+K11)*0.12</f>
        <v/>
      </c>
      <c r="L14" s="327" t="n"/>
      <c r="M14" s="328" t="n"/>
      <c r="N14" s="30" t="n"/>
      <c r="O14" s="4" t="n"/>
      <c r="P14" s="4" t="n"/>
      <c r="Q14" s="12" t="inlineStr">
        <is>
          <t xml:space="preserve"> Mato Grosso </t>
        </is>
      </c>
      <c r="R14" s="13" t="inlineStr">
        <is>
          <t xml:space="preserve">0,12 </t>
        </is>
      </c>
      <c r="S14" s="13" t="inlineStr">
        <is>
          <t xml:space="preserve">0,20 </t>
        </is>
      </c>
      <c r="T14" s="13" t="inlineStr">
        <is>
          <t xml:space="preserve">0,20 </t>
        </is>
      </c>
      <c r="U14" s="13" t="inlineStr">
        <is>
          <t xml:space="preserve">0,18 </t>
        </is>
      </c>
      <c r="V14" s="13" t="inlineStr">
        <is>
          <t xml:space="preserve">0,16 </t>
        </is>
      </c>
      <c r="W14" s="13" t="inlineStr">
        <is>
          <t xml:space="preserve">0,24 </t>
        </is>
      </c>
      <c r="X14" s="13" t="inlineStr">
        <is>
          <t xml:space="preserve">0,07 </t>
        </is>
      </c>
      <c r="Y14" s="13" t="inlineStr">
        <is>
          <t xml:space="preserve">0,14 </t>
        </is>
      </c>
      <c r="Z14" s="13" t="inlineStr">
        <is>
          <t xml:space="preserve">0,07 </t>
        </is>
      </c>
      <c r="AA14" s="13" t="inlineStr">
        <is>
          <t xml:space="preserve">0,20 </t>
        </is>
      </c>
      <c r="AB14" s="13" t="inlineStr">
        <is>
          <t xml:space="preserve">0,06 </t>
        </is>
      </c>
      <c r="AC14" s="13" t="inlineStr">
        <is>
          <t xml:space="preserve">0,07 </t>
        </is>
      </c>
      <c r="AD14" s="13" t="inlineStr">
        <is>
          <t xml:space="preserve">0,10 </t>
        </is>
      </c>
      <c r="AE14" s="13" t="inlineStr">
        <is>
          <t xml:space="preserve">0,14 </t>
        </is>
      </c>
      <c r="AF14" s="13" t="inlineStr">
        <is>
          <t xml:space="preserve">0,22 </t>
        </is>
      </c>
      <c r="AG14" s="13" t="inlineStr">
        <is>
          <t xml:space="preserve">0,11 </t>
        </is>
      </c>
      <c r="AH14" s="13" t="inlineStr">
        <is>
          <t xml:space="preserve">0,22 </t>
        </is>
      </c>
      <c r="AI14" s="13" t="inlineStr">
        <is>
          <t xml:space="preserve">0,18 </t>
        </is>
      </c>
      <c r="AJ14" s="13" t="inlineStr">
        <is>
          <t xml:space="preserve">0,14 </t>
        </is>
      </c>
      <c r="AK14" s="13" t="inlineStr">
        <is>
          <t xml:space="preserve">0,24 </t>
        </is>
      </c>
      <c r="AL14" s="13" t="inlineStr">
        <is>
          <t xml:space="preserve">0,16 </t>
        </is>
      </c>
      <c r="AM14" s="13" t="inlineStr">
        <is>
          <t xml:space="preserve">0,09 </t>
        </is>
      </c>
      <c r="AN14" s="13" t="inlineStr">
        <is>
          <t xml:space="preserve">0,24 </t>
        </is>
      </c>
      <c r="AO14" s="13" t="inlineStr">
        <is>
          <t xml:space="preserve">0,12 </t>
        </is>
      </c>
      <c r="AP14" s="14" t="inlineStr">
        <is>
          <t xml:space="preserve">0,11 </t>
        </is>
      </c>
      <c r="AQ14" s="13" t="inlineStr">
        <is>
          <t xml:space="preserve">0,18 </t>
        </is>
      </c>
      <c r="AR14" s="13" t="inlineStr">
        <is>
          <t xml:space="preserve">0,10 </t>
        </is>
      </c>
    </row>
    <row r="15" ht="13.5" customHeight="1" thickBot="1">
      <c r="J15" s="71" t="n"/>
      <c r="K15" s="329" t="n"/>
      <c r="L15" s="330" t="n"/>
      <c r="M15" s="331" t="n"/>
      <c r="N15" s="331" t="n"/>
      <c r="O15" s="4" t="n"/>
      <c r="P15" s="4" t="n"/>
      <c r="Q15" s="12" t="inlineStr">
        <is>
          <t xml:space="preserve"> Mato Grosso do Sul </t>
        </is>
      </c>
      <c r="R15" s="13" t="inlineStr">
        <is>
          <t xml:space="preserve">0,16 </t>
        </is>
      </c>
      <c r="S15" s="13" t="inlineStr">
        <is>
          <t xml:space="preserve">0,22 </t>
        </is>
      </c>
      <c r="T15" s="13" t="inlineStr">
        <is>
          <t xml:space="preserve">0,26 </t>
        </is>
      </c>
      <c r="U15" s="13" t="inlineStr">
        <is>
          <t xml:space="preserve">0,20 </t>
        </is>
      </c>
      <c r="V15" s="13" t="inlineStr">
        <is>
          <t xml:space="preserve">0,18 </t>
        </is>
      </c>
      <c r="W15" s="13" t="inlineStr">
        <is>
          <t xml:space="preserve">0,24 </t>
        </is>
      </c>
      <c r="X15" s="13" t="inlineStr">
        <is>
          <t xml:space="preserve">0,08 </t>
        </is>
      </c>
      <c r="Y15" s="13" t="inlineStr">
        <is>
          <t xml:space="preserve">0,12 </t>
        </is>
      </c>
      <c r="Z15" s="13" t="inlineStr">
        <is>
          <t xml:space="preserve">0,08 </t>
        </is>
      </c>
      <c r="AA15" s="13" t="inlineStr">
        <is>
          <t xml:space="preserve">0,24 </t>
        </is>
      </c>
      <c r="AB15" s="13" t="inlineStr">
        <is>
          <t xml:space="preserve">0,07 </t>
        </is>
      </c>
      <c r="AC15" s="13" t="inlineStr">
        <is>
          <t xml:space="preserve">0,05 </t>
        </is>
      </c>
      <c r="AD15" s="13" t="inlineStr">
        <is>
          <t xml:space="preserve">0,09 </t>
        </is>
      </c>
      <c r="AE15" s="13" t="inlineStr">
        <is>
          <t xml:space="preserve">0,18 </t>
        </is>
      </c>
      <c r="AF15" s="13" t="inlineStr">
        <is>
          <t xml:space="preserve">0,24 </t>
        </is>
      </c>
      <c r="AG15" s="13" t="inlineStr">
        <is>
          <t xml:space="preserve">0,07 </t>
        </is>
      </c>
      <c r="AH15" s="13" t="inlineStr">
        <is>
          <t xml:space="preserve">0,24 </t>
        </is>
      </c>
      <c r="AI15" s="13" t="inlineStr">
        <is>
          <t xml:space="preserve">0,20 </t>
        </is>
      </c>
      <c r="AJ15" s="13" t="inlineStr">
        <is>
          <t xml:space="preserve">0,09 </t>
        </is>
      </c>
      <c r="AK15" s="13" t="inlineStr">
        <is>
          <t xml:space="preserve">0,26 </t>
        </is>
      </c>
      <c r="AL15" s="13" t="inlineStr">
        <is>
          <t xml:space="preserve">0,11 </t>
        </is>
      </c>
      <c r="AM15" s="13" t="inlineStr">
        <is>
          <t xml:space="preserve">0,14 </t>
        </is>
      </c>
      <c r="AN15" s="13" t="inlineStr">
        <is>
          <t xml:space="preserve">0,26 </t>
        </is>
      </c>
      <c r="AO15" s="13" t="inlineStr">
        <is>
          <t xml:space="preserve">0,09 </t>
        </is>
      </c>
      <c r="AP15" s="14" t="inlineStr">
        <is>
          <t xml:space="preserve">0,07 </t>
        </is>
      </c>
      <c r="AQ15" s="13" t="inlineStr">
        <is>
          <t xml:space="preserve">0,20 </t>
        </is>
      </c>
      <c r="AR15" s="13" t="inlineStr">
        <is>
          <t xml:space="preserve">0,14 </t>
        </is>
      </c>
    </row>
    <row r="16" ht="15" customHeight="1" thickBot="1">
      <c r="A16" s="32" t="inlineStr">
        <is>
          <t>Item</t>
        </is>
      </c>
      <c r="B16" s="218" t="inlineStr">
        <is>
          <t>Marca / Modelo</t>
        </is>
      </c>
      <c r="C16" s="332" t="n"/>
      <c r="D16" s="332" t="n"/>
      <c r="E16" s="332" t="n"/>
      <c r="F16" s="220" t="inlineStr">
        <is>
          <t>Valor da fipe</t>
        </is>
      </c>
      <c r="G16" s="333" t="n"/>
      <c r="H16" s="334" t="inlineStr">
        <is>
          <t>Observações</t>
        </is>
      </c>
      <c r="I16" s="325" t="n"/>
      <c r="J16" s="60" t="n"/>
      <c r="K16" s="335" t="n"/>
      <c r="L16" s="62" t="n"/>
      <c r="M16" s="336" t="n"/>
      <c r="N16" s="337" t="n"/>
      <c r="O16" s="4" t="n"/>
      <c r="P16" s="4" t="n"/>
      <c r="Q16" s="12" t="inlineStr">
        <is>
          <t xml:space="preserve"> Minas Gerais </t>
        </is>
      </c>
      <c r="R16" s="13" t="inlineStr">
        <is>
          <t xml:space="preserve">0,22 </t>
        </is>
      </c>
      <c r="S16" s="13" t="inlineStr">
        <is>
          <t xml:space="preserve">0,11 </t>
        </is>
      </c>
      <c r="T16" s="13" t="inlineStr">
        <is>
          <t xml:space="preserve">0,20 </t>
        </is>
      </c>
      <c r="U16" s="13" t="inlineStr">
        <is>
          <t xml:space="preserve">0,24 </t>
        </is>
      </c>
      <c r="V16" s="13" t="inlineStr">
        <is>
          <t xml:space="preserve">0,09 </t>
        </is>
      </c>
      <c r="W16" s="13" t="inlineStr">
        <is>
          <t xml:space="preserve">0,16 </t>
        </is>
      </c>
      <c r="X16" s="13" t="inlineStr">
        <is>
          <t xml:space="preserve">0,06 </t>
        </is>
      </c>
      <c r="Y16" s="13" t="inlineStr">
        <is>
          <t xml:space="preserve">0,05 </t>
        </is>
      </c>
      <c r="Z16" s="13" t="inlineStr">
        <is>
          <t xml:space="preserve">0,06 </t>
        </is>
      </c>
      <c r="AA16" s="13" t="inlineStr">
        <is>
          <t xml:space="preserve">0,16 </t>
        </is>
      </c>
      <c r="AB16" s="13" t="inlineStr">
        <is>
          <t xml:space="preserve"> 0,10 </t>
        </is>
      </c>
      <c r="AC16" s="13" t="inlineStr">
        <is>
          <t xml:space="preserve">0,09 </t>
        </is>
      </c>
      <c r="AD16" s="13" t="inlineStr">
        <is>
          <t xml:space="preserve">0,04 </t>
        </is>
      </c>
      <c r="AE16" s="13" t="inlineStr">
        <is>
          <t xml:space="preserve">0,18 </t>
        </is>
      </c>
      <c r="AF16" s="13" t="inlineStr">
        <is>
          <t xml:space="preserve">0,14 </t>
        </is>
      </c>
      <c r="AG16" s="13" t="inlineStr">
        <is>
          <t xml:space="preserve">0,07 </t>
        </is>
      </c>
      <c r="AH16" s="13" t="inlineStr">
        <is>
          <t xml:space="preserve">0,14 </t>
        </is>
      </c>
      <c r="AI16" s="13" t="inlineStr">
        <is>
          <t xml:space="preserve">0,14 </t>
        </is>
      </c>
      <c r="AJ16" s="13" t="inlineStr">
        <is>
          <t xml:space="preserve">0,05 </t>
        </is>
      </c>
      <c r="AK16" s="13" t="inlineStr">
        <is>
          <t xml:space="preserve">0,14 </t>
        </is>
      </c>
      <c r="AL16" s="13" t="inlineStr">
        <is>
          <t xml:space="preserve">0,10 </t>
        </is>
      </c>
      <c r="AM16" s="13" t="inlineStr">
        <is>
          <t xml:space="preserve">0,20 </t>
        </is>
      </c>
      <c r="AN16" s="13" t="inlineStr">
        <is>
          <t xml:space="preserve">0,30 </t>
        </is>
      </c>
      <c r="AO16" s="13" t="inlineStr">
        <is>
          <t xml:space="preserve">0,08 </t>
        </is>
      </c>
      <c r="AP16" s="14" t="inlineStr">
        <is>
          <t xml:space="preserve">0,05 </t>
        </is>
      </c>
      <c r="AQ16" s="13" t="inlineStr">
        <is>
          <t xml:space="preserve">0,10 </t>
        </is>
      </c>
      <c r="AR16" s="13" t="inlineStr">
        <is>
          <t xml:space="preserve">0,13 </t>
        </is>
      </c>
    </row>
    <row r="17" ht="14.25" customHeight="1">
      <c r="A17" s="338" t="n">
        <v>1</v>
      </c>
      <c r="B17" s="339" t="inlineStr">
        <is>
          <t>VOYAGE 2010</t>
        </is>
      </c>
      <c r="C17" s="332" t="n"/>
      <c r="D17" s="332" t="n"/>
      <c r="E17" s="333" t="n"/>
      <c r="F17" s="340" t="n"/>
      <c r="G17" s="333" t="n"/>
      <c r="H17" s="341" t="inlineStr"/>
      <c r="I17" s="325" t="n"/>
      <c r="J17" s="60" t="n"/>
      <c r="K17" s="342" t="n"/>
      <c r="L17" s="337" t="n"/>
      <c r="M17" s="331" t="n"/>
      <c r="N17" s="3" t="n"/>
      <c r="O17" s="4" t="n"/>
      <c r="P17" s="4" t="n"/>
      <c r="Q17" s="12" t="inlineStr">
        <is>
          <t xml:space="preserve"> Pará </t>
        </is>
      </c>
      <c r="R17" s="13" t="inlineStr">
        <is>
          <t xml:space="preserve">0,24 </t>
        </is>
      </c>
      <c r="S17" s="13" t="inlineStr">
        <is>
          <t xml:space="preserve">0,14 </t>
        </is>
      </c>
      <c r="T17" s="13" t="inlineStr">
        <is>
          <t xml:space="preserve">0,09 </t>
        </is>
      </c>
      <c r="U17" s="13" t="inlineStr">
        <is>
          <t xml:space="preserve">0,24 </t>
        </is>
      </c>
      <c r="V17" s="13" t="inlineStr">
        <is>
          <t xml:space="preserve">0,12 </t>
        </is>
      </c>
      <c r="W17" s="13" t="inlineStr">
        <is>
          <t xml:space="preserve">0,10 </t>
        </is>
      </c>
      <c r="X17" s="13" t="inlineStr">
        <is>
          <t xml:space="preserve">0,12 </t>
        </is>
      </c>
      <c r="Y17" s="13" t="inlineStr">
        <is>
          <t xml:space="preserve">0,20 </t>
        </is>
      </c>
      <c r="Z17" s="13" t="inlineStr">
        <is>
          <t xml:space="preserve">0,12 </t>
        </is>
      </c>
      <c r="AA17" s="13" t="inlineStr">
        <is>
          <t xml:space="preserve">0,09 </t>
        </is>
      </c>
      <c r="AB17" s="13" t="inlineStr">
        <is>
          <t xml:space="preserve"> 0,14 </t>
        </is>
      </c>
      <c r="AC17" s="13" t="inlineStr">
        <is>
          <t xml:space="preserve">0,18 </t>
        </is>
      </c>
      <c r="AD17" s="13" t="inlineStr">
        <is>
          <t xml:space="preserve">0,18 </t>
        </is>
      </c>
      <c r="AE17" s="13" t="inlineStr">
        <is>
          <t xml:space="preserve">0,08 </t>
        </is>
      </c>
      <c r="AF17" s="13" t="inlineStr">
        <is>
          <t xml:space="preserve">0,14 </t>
        </is>
      </c>
      <c r="AG17" s="13" t="inlineStr">
        <is>
          <t xml:space="preserve">0,20 </t>
        </is>
      </c>
      <c r="AH17" s="13" t="inlineStr">
        <is>
          <t xml:space="preserve">0,12 </t>
        </is>
      </c>
      <c r="AI17" s="13" t="inlineStr">
        <is>
          <t xml:space="preserve">0,09 </t>
        </is>
      </c>
      <c r="AJ17" s="13" t="inlineStr">
        <is>
          <t xml:space="preserve">0,20 </t>
        </is>
      </c>
      <c r="AK17" s="13" t="inlineStr">
        <is>
          <t xml:space="preserve">0,12 </t>
        </is>
      </c>
      <c r="AL17" s="13" t="inlineStr">
        <is>
          <t xml:space="preserve">0,26 </t>
        </is>
      </c>
      <c r="AM17" s="13" t="inlineStr">
        <is>
          <t xml:space="preserve">0,20 </t>
        </is>
      </c>
      <c r="AN17" s="13" t="inlineStr">
        <is>
          <t xml:space="preserve">0,28 </t>
        </is>
      </c>
      <c r="AO17" s="13" t="inlineStr">
        <is>
          <t xml:space="preserve">0,22 </t>
        </is>
      </c>
      <c r="AP17" s="14" t="inlineStr">
        <is>
          <t xml:space="preserve">0,18 </t>
        </is>
      </c>
      <c r="AQ17" s="13" t="inlineStr">
        <is>
          <t xml:space="preserve">0,14 </t>
        </is>
      </c>
      <c r="AR17" s="13" t="inlineStr">
        <is>
          <t xml:space="preserve">0,12 </t>
        </is>
      </c>
    </row>
    <row r="18" ht="39" customHeight="1" thickBot="1">
      <c r="A18" s="343" t="n"/>
      <c r="B18" s="344" t="n"/>
      <c r="C18" s="345" t="n"/>
      <c r="D18" s="345" t="n"/>
      <c r="E18" s="346" t="n"/>
      <c r="F18" s="344" t="n"/>
      <c r="G18" s="346" t="n"/>
      <c r="H18" s="344" t="n"/>
      <c r="I18" s="328" t="n"/>
      <c r="J18" s="60" t="n"/>
      <c r="K18" s="342">
        <f>8000/1274</f>
        <v/>
      </c>
      <c r="L18" s="337" t="n"/>
      <c r="M18" s="331" t="n"/>
      <c r="N18" s="3" t="n"/>
      <c r="O18" s="4" t="n"/>
      <c r="P18" s="4" t="n"/>
      <c r="Q18" s="12" t="inlineStr">
        <is>
          <t xml:space="preserve"> Pará </t>
        </is>
      </c>
      <c r="R18" s="13" t="inlineStr">
        <is>
          <t xml:space="preserve">0,24 </t>
        </is>
      </c>
      <c r="S18" s="13" t="inlineStr">
        <is>
          <t xml:space="preserve">0,14 </t>
        </is>
      </c>
      <c r="T18" s="13" t="inlineStr">
        <is>
          <t xml:space="preserve">0,09 </t>
        </is>
      </c>
      <c r="U18" s="13" t="inlineStr">
        <is>
          <t xml:space="preserve">0,24 </t>
        </is>
      </c>
      <c r="V18" s="13" t="inlineStr">
        <is>
          <t xml:space="preserve">0,12 </t>
        </is>
      </c>
      <c r="W18" s="13" t="inlineStr">
        <is>
          <t xml:space="preserve">0,10 </t>
        </is>
      </c>
      <c r="X18" s="13" t="inlineStr">
        <is>
          <t xml:space="preserve">0,12 </t>
        </is>
      </c>
      <c r="Y18" s="13" t="inlineStr">
        <is>
          <t xml:space="preserve">0,20 </t>
        </is>
      </c>
      <c r="Z18" s="13" t="inlineStr">
        <is>
          <t xml:space="preserve">0,12 </t>
        </is>
      </c>
      <c r="AA18" s="13" t="inlineStr">
        <is>
          <t xml:space="preserve">0,09 </t>
        </is>
      </c>
      <c r="AB18" s="13" t="inlineStr">
        <is>
          <t xml:space="preserve"> 0,14 </t>
        </is>
      </c>
      <c r="AC18" s="13" t="inlineStr">
        <is>
          <t xml:space="preserve">0,18 </t>
        </is>
      </c>
      <c r="AD18" s="13" t="inlineStr">
        <is>
          <t xml:space="preserve">0,18 </t>
        </is>
      </c>
      <c r="AE18" s="13" t="inlineStr">
        <is>
          <t xml:space="preserve">0,08 </t>
        </is>
      </c>
      <c r="AF18" s="13" t="inlineStr">
        <is>
          <t xml:space="preserve">0,14 </t>
        </is>
      </c>
      <c r="AG18" s="13" t="inlineStr">
        <is>
          <t xml:space="preserve">0,20 </t>
        </is>
      </c>
      <c r="AH18" s="13" t="inlineStr">
        <is>
          <t xml:space="preserve">0,12 </t>
        </is>
      </c>
      <c r="AI18" s="13" t="inlineStr">
        <is>
          <t xml:space="preserve">0,09 </t>
        </is>
      </c>
      <c r="AJ18" s="13" t="inlineStr">
        <is>
          <t xml:space="preserve">0,20 </t>
        </is>
      </c>
      <c r="AK18" s="13" t="inlineStr">
        <is>
          <t xml:space="preserve">0,12 </t>
        </is>
      </c>
      <c r="AL18" s="13" t="inlineStr">
        <is>
          <t xml:space="preserve">0,26 </t>
        </is>
      </c>
      <c r="AM18" s="13" t="inlineStr">
        <is>
          <t xml:space="preserve">0,20 </t>
        </is>
      </c>
      <c r="AN18" s="13" t="inlineStr">
        <is>
          <t xml:space="preserve">0,28 </t>
        </is>
      </c>
      <c r="AO18" s="13" t="inlineStr">
        <is>
          <t xml:space="preserve">0,22 </t>
        </is>
      </c>
      <c r="AP18" s="14" t="inlineStr">
        <is>
          <t xml:space="preserve">0,18 </t>
        </is>
      </c>
      <c r="AQ18" s="13" t="inlineStr">
        <is>
          <t xml:space="preserve">0,14 </t>
        </is>
      </c>
      <c r="AR18" s="13" t="inlineStr">
        <is>
          <t xml:space="preserve">0,12 </t>
        </is>
      </c>
    </row>
    <row r="19">
      <c r="J19" s="60" t="n"/>
      <c r="K19" s="342" t="n"/>
      <c r="L19" s="337" t="n"/>
      <c r="M19" s="331" t="n"/>
      <c r="N19" s="3" t="n"/>
      <c r="O19" s="4" t="n"/>
      <c r="P19" s="4" t="n"/>
      <c r="Q19" s="12" t="inlineStr">
        <is>
          <t xml:space="preserve"> Paraíba </t>
        </is>
      </c>
      <c r="R19" s="13" t="inlineStr">
        <is>
          <t xml:space="preserve">0,30 </t>
        </is>
      </c>
      <c r="S19" s="13" t="inlineStr">
        <is>
          <t xml:space="preserve">0,05 </t>
        </is>
      </c>
      <c r="T19" s="13" t="inlineStr">
        <is>
          <t xml:space="preserve">0,16 </t>
        </is>
      </c>
      <c r="U19" s="13" t="inlineStr">
        <is>
          <t xml:space="preserve">0,30 </t>
        </is>
      </c>
      <c r="V19" s="13" t="inlineStr">
        <is>
          <t xml:space="preserve">0,07 </t>
        </is>
      </c>
      <c r="W19" s="13" t="inlineStr">
        <is>
          <t xml:space="preserve">0,05 </t>
        </is>
      </c>
      <c r="X19" s="13" t="inlineStr">
        <is>
          <t xml:space="preserve">0,16 </t>
        </is>
      </c>
      <c r="Y19" s="13" t="inlineStr">
        <is>
          <t xml:space="preserve">0,12 </t>
        </is>
      </c>
      <c r="Z19" s="13" t="inlineStr">
        <is>
          <t xml:space="preserve">0,16 </t>
        </is>
      </c>
      <c r="AA19" s="13" t="inlineStr">
        <is>
          <t xml:space="preserve">0,11 </t>
        </is>
      </c>
      <c r="AB19" s="13" t="inlineStr">
        <is>
          <t xml:space="preserve"> 0,22 </t>
        </is>
      </c>
      <c r="AC19" s="13" t="inlineStr">
        <is>
          <t xml:space="preserve">0,24 </t>
        </is>
      </c>
      <c r="AD19" s="13" t="inlineStr">
        <is>
          <t xml:space="preserve">0,14 </t>
        </is>
      </c>
      <c r="AE19" s="13" t="inlineStr">
        <is>
          <t xml:space="preserve">0,14 </t>
        </is>
      </c>
      <c r="AF19" s="13" t="inlineStr">
        <is>
          <t xml:space="preserve">0,04 </t>
        </is>
      </c>
      <c r="AG19" s="13" t="inlineStr">
        <is>
          <t xml:space="preserve">0,20 </t>
        </is>
      </c>
      <c r="AH19" s="13" t="inlineStr">
        <is>
          <t xml:space="preserve">0,05 </t>
        </is>
      </c>
      <c r="AI19" s="13" t="inlineStr">
        <is>
          <t xml:space="preserve">0,08 </t>
        </is>
      </c>
      <c r="AJ19" s="13" t="inlineStr">
        <is>
          <t xml:space="preserve">0,16 </t>
        </is>
      </c>
      <c r="AK19" s="13" t="inlineStr">
        <is>
          <t xml:space="preserve">0,05 </t>
        </is>
      </c>
      <c r="AL19" s="13" t="inlineStr">
        <is>
          <t xml:space="preserve">0,24 </t>
        </is>
      </c>
      <c r="AM19" s="13" t="inlineStr">
        <is>
          <t xml:space="preserve">0,28 </t>
        </is>
      </c>
      <c r="AN19" s="13" t="inlineStr">
        <is>
          <t xml:space="preserve">0,32 </t>
        </is>
      </c>
      <c r="AO19" s="13" t="inlineStr">
        <is>
          <t xml:space="preserve">0,22 </t>
        </is>
      </c>
      <c r="AP19" s="14" t="inlineStr">
        <is>
          <t xml:space="preserve">0,18 </t>
        </is>
      </c>
      <c r="AQ19" s="13" t="inlineStr">
        <is>
          <t xml:space="preserve">0,05 </t>
        </is>
      </c>
      <c r="AR19" s="13" t="inlineStr">
        <is>
          <t xml:space="preserve">0,13 </t>
        </is>
      </c>
    </row>
    <row r="20" ht="13.5" customHeight="1" thickBot="1">
      <c r="A20" s="181" t="inlineStr">
        <is>
          <t xml:space="preserve">1 - TRANSPORTE BASE A BASE: </t>
        </is>
      </c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60" t="n"/>
      <c r="K20" s="347" t="n"/>
      <c r="L20" s="64" t="n"/>
      <c r="M20" s="348" t="n"/>
      <c r="N20" s="3" t="n"/>
      <c r="O20" s="4" t="n"/>
      <c r="P20" s="4" t="n"/>
      <c r="Q20" s="12" t="inlineStr">
        <is>
          <t xml:space="preserve"> Paraná </t>
        </is>
      </c>
      <c r="R20" s="13" t="inlineStr">
        <is>
          <t xml:space="preserve">0,24 </t>
        </is>
      </c>
      <c r="S20" s="13" t="inlineStr">
        <is>
          <t xml:space="preserve">0,18 </t>
        </is>
      </c>
      <c r="T20" s="13" t="inlineStr">
        <is>
          <t xml:space="preserve">0,22 </t>
        </is>
      </c>
      <c r="U20" s="13" t="inlineStr">
        <is>
          <t xml:space="preserve">0,26 </t>
        </is>
      </c>
      <c r="V20" s="13" t="inlineStr">
        <is>
          <t xml:space="preserve">0,14 </t>
        </is>
      </c>
      <c r="W20" s="13" t="inlineStr">
        <is>
          <t xml:space="preserve">0,22 </t>
        </is>
      </c>
      <c r="X20" s="13" t="inlineStr">
        <is>
          <t xml:space="preserve">0,09 </t>
        </is>
      </c>
      <c r="Y20" s="13" t="inlineStr">
        <is>
          <t xml:space="preserve">0,09 </t>
        </is>
      </c>
      <c r="Z20" s="13" t="inlineStr">
        <is>
          <t xml:space="preserve">0,09 </t>
        </is>
      </c>
      <c r="AA20" s="13" t="inlineStr">
        <is>
          <t xml:space="preserve">0,24 </t>
        </is>
      </c>
      <c r="AB20" s="13" t="inlineStr">
        <is>
          <t xml:space="preserve"> 0,11 </t>
        </is>
      </c>
      <c r="AC20" s="13" t="inlineStr">
        <is>
          <t xml:space="preserve">0,07 </t>
        </is>
      </c>
      <c r="AD20" s="13" t="inlineStr">
        <is>
          <t xml:space="preserve">0,07 </t>
        </is>
      </c>
      <c r="AE20" s="13" t="inlineStr">
        <is>
          <t xml:space="preserve">0,20 </t>
        </is>
      </c>
      <c r="AF20" s="13" t="inlineStr">
        <is>
          <t xml:space="preserve">0,20 </t>
        </is>
      </c>
      <c r="AG20" s="13" t="inlineStr">
        <is>
          <t xml:space="preserve">0,03 </t>
        </is>
      </c>
      <c r="AH20" s="13" t="inlineStr">
        <is>
          <t xml:space="preserve">0,20 </t>
        </is>
      </c>
      <c r="AI20" s="13" t="inlineStr">
        <is>
          <t xml:space="preserve">0,20 </t>
        </is>
      </c>
      <c r="AJ20" s="13" t="inlineStr">
        <is>
          <t xml:space="preserve">0,06 </t>
        </is>
      </c>
      <c r="AK20" s="13" t="inlineStr">
        <is>
          <t xml:space="preserve">0,22 </t>
        </is>
      </c>
      <c r="AL20" s="13" t="inlineStr">
        <is>
          <t xml:space="preserve">0,06 </t>
        </is>
      </c>
      <c r="AM20" s="13" t="inlineStr">
        <is>
          <t xml:space="preserve">0,20 </t>
        </is>
      </c>
      <c r="AN20" s="13" t="inlineStr">
        <is>
          <t xml:space="preserve">0,30 </t>
        </is>
      </c>
      <c r="AO20" s="13" t="inlineStr">
        <is>
          <t xml:space="preserve">0,04 </t>
        </is>
      </c>
      <c r="AP20" s="14" t="inlineStr">
        <is>
          <t xml:space="preserve">0,04 </t>
        </is>
      </c>
      <c r="AQ20" s="13" t="inlineStr">
        <is>
          <t xml:space="preserve">0,16 </t>
        </is>
      </c>
      <c r="AR20" s="13" t="inlineStr">
        <is>
          <t xml:space="preserve">0,18 </t>
        </is>
      </c>
    </row>
    <row r="21" ht="15.75" customHeight="1" thickBot="1">
      <c r="A21" s="151" t="inlineStr">
        <is>
          <t>(Nesta modalidade o veiculo deve ser entregue a transportadora nos locais de carregamento e descarregamento)</t>
        </is>
      </c>
      <c r="B21" s="345" t="n"/>
      <c r="C21" s="345" t="n"/>
      <c r="D21" s="345" t="n"/>
      <c r="E21" s="345" t="n"/>
      <c r="F21" s="345" t="n"/>
      <c r="G21" s="345" t="n"/>
      <c r="H21" s="345" t="n"/>
      <c r="I21" s="345" t="n"/>
      <c r="J21" s="60" t="n"/>
      <c r="K21" s="347" t="n"/>
      <c r="L21" s="64" t="n"/>
      <c r="M21" s="316" t="n"/>
      <c r="N21" s="36" t="inlineStr">
        <is>
          <t>LUCRO</t>
        </is>
      </c>
      <c r="O21" s="4" t="n"/>
      <c r="P21" s="4" t="n"/>
      <c r="Q21" s="12" t="inlineStr">
        <is>
          <t xml:space="preserve"> Pernambuco </t>
        </is>
      </c>
      <c r="R21" s="13" t="inlineStr">
        <is>
          <t xml:space="preserve">0,30 </t>
        </is>
      </c>
      <c r="S21" s="13" t="inlineStr">
        <is>
          <t xml:space="preserve">0,05 </t>
        </is>
      </c>
      <c r="T21" s="13" t="inlineStr">
        <is>
          <t xml:space="preserve">0,16 </t>
        </is>
      </c>
      <c r="U21" s="13" t="inlineStr">
        <is>
          <t xml:space="preserve">0,30 </t>
        </is>
      </c>
      <c r="V21" s="13" t="inlineStr">
        <is>
          <t xml:space="preserve">0,06 </t>
        </is>
      </c>
      <c r="W21" s="13" t="inlineStr">
        <is>
          <t xml:space="preserve">0,06 </t>
        </is>
      </c>
      <c r="X21" s="13" t="inlineStr">
        <is>
          <t xml:space="preserve">0,16 </t>
        </is>
      </c>
      <c r="Y21" s="13" t="inlineStr">
        <is>
          <t xml:space="preserve">0,12 </t>
        </is>
      </c>
      <c r="Z21" s="13" t="inlineStr">
        <is>
          <t xml:space="preserve">0,16 </t>
        </is>
      </c>
      <c r="AA21" s="13" t="inlineStr">
        <is>
          <t xml:space="preserve">0,10 </t>
        </is>
      </c>
      <c r="AB21" s="13" t="inlineStr">
        <is>
          <t xml:space="preserve"> 0,22 </t>
        </is>
      </c>
      <c r="AC21" s="13" t="inlineStr">
        <is>
          <t xml:space="preserve">0,24 </t>
        </is>
      </c>
      <c r="AD21" s="13" t="inlineStr">
        <is>
          <t xml:space="preserve">0,14 </t>
        </is>
      </c>
      <c r="AE21" s="13" t="inlineStr">
        <is>
          <t xml:space="preserve">0,12 </t>
        </is>
      </c>
      <c r="AF21" s="13" t="inlineStr">
        <is>
          <t xml:space="preserve">0,05 </t>
        </is>
      </c>
      <c r="AG21" s="13" t="inlineStr">
        <is>
          <t xml:space="preserve">0,20 </t>
        </is>
      </c>
      <c r="AH21" s="13" t="inlineStr">
        <is>
          <t xml:space="preserve">0,04 </t>
        </is>
      </c>
      <c r="AI21" s="13" t="inlineStr">
        <is>
          <t xml:space="preserve">0,08 </t>
        </is>
      </c>
      <c r="AJ21" s="13" t="inlineStr">
        <is>
          <t xml:space="preserve">0,16 </t>
        </is>
      </c>
      <c r="AK21" s="13" t="inlineStr">
        <is>
          <t xml:space="preserve">0,05 </t>
        </is>
      </c>
      <c r="AL21" s="13" t="inlineStr">
        <is>
          <t xml:space="preserve">0,24 </t>
        </is>
      </c>
      <c r="AM21" s="13" t="inlineStr">
        <is>
          <t xml:space="preserve">0,26 </t>
        </is>
      </c>
      <c r="AN21" s="13" t="inlineStr">
        <is>
          <t xml:space="preserve">0,32 </t>
        </is>
      </c>
      <c r="AO21" s="13" t="inlineStr">
        <is>
          <t xml:space="preserve">0,24 </t>
        </is>
      </c>
      <c r="AP21" s="14" t="inlineStr">
        <is>
          <t xml:space="preserve">0,16 </t>
        </is>
      </c>
      <c r="AQ21" s="13" t="inlineStr">
        <is>
          <t xml:space="preserve">0,05 </t>
        </is>
      </c>
      <c r="AR21" s="13" t="inlineStr">
        <is>
          <t xml:space="preserve">0,12 </t>
        </is>
      </c>
    </row>
    <row r="22" ht="15" customHeight="1" thickBot="1">
      <c r="A22" s="32" t="inlineStr">
        <is>
          <t>Item</t>
        </is>
      </c>
      <c r="B22" s="349" t="inlineStr">
        <is>
          <t>Origem</t>
        </is>
      </c>
      <c r="C22" s="332" t="n"/>
      <c r="D22" s="333" t="n"/>
      <c r="E22" s="349" t="inlineStr">
        <is>
          <t>Destino</t>
        </is>
      </c>
      <c r="F22" s="332" t="n"/>
      <c r="G22" s="333" t="n"/>
      <c r="H22" s="334" t="inlineStr">
        <is>
          <t>Prazo após Embarque</t>
        </is>
      </c>
      <c r="I22" s="325" t="n"/>
      <c r="J22" s="75" t="inlineStr">
        <is>
          <t>ITEM 1:</t>
        </is>
      </c>
      <c r="K22" s="184" t="inlineStr">
        <is>
          <t>VALOR FRETE S/  SEGURO E CTE</t>
        </is>
      </c>
      <c r="L22" s="350" t="n"/>
      <c r="M22" s="351">
        <f>K7+K8+K9+N22</f>
        <v/>
      </c>
      <c r="N22" s="352" t="n"/>
      <c r="O22" s="4" t="n"/>
      <c r="P22" s="4" t="n"/>
      <c r="Q22" s="12" t="inlineStr">
        <is>
          <t xml:space="preserve"> Piauí </t>
        </is>
      </c>
      <c r="R22" s="13" t="inlineStr">
        <is>
          <t xml:space="preserve">0,26 </t>
        </is>
      </c>
      <c r="S22" s="13" t="inlineStr">
        <is>
          <t xml:space="preserve">0,08 </t>
        </is>
      </c>
      <c r="T22" s="13" t="inlineStr">
        <is>
          <t xml:space="preserve">0,09 </t>
        </is>
      </c>
      <c r="U22" s="13" t="inlineStr">
        <is>
          <t xml:space="preserve">0,24 </t>
        </is>
      </c>
      <c r="V22" s="13" t="inlineStr">
        <is>
          <t xml:space="preserve">0,08 </t>
        </is>
      </c>
      <c r="W22" s="13" t="inlineStr">
        <is>
          <t xml:space="preserve">0,07 </t>
        </is>
      </c>
      <c r="X22" s="13" t="inlineStr">
        <is>
          <t xml:space="preserve">0,18 </t>
        </is>
      </c>
      <c r="Y22" s="13" t="inlineStr">
        <is>
          <t xml:space="preserve">0,14 </t>
        </is>
      </c>
      <c r="Z22" s="13" t="inlineStr">
        <is>
          <t xml:space="preserve">0,18 </t>
        </is>
      </c>
      <c r="AA22" s="13" t="inlineStr">
        <is>
          <t xml:space="preserve">0,07 </t>
        </is>
      </c>
      <c r="AB22" s="13" t="inlineStr">
        <is>
          <t xml:space="preserve"> 0,18 </t>
        </is>
      </c>
      <c r="AC22" s="13" t="inlineStr">
        <is>
          <t xml:space="preserve">0,20 </t>
        </is>
      </c>
      <c r="AD22" s="13" t="inlineStr">
        <is>
          <t xml:space="preserve">0,14 </t>
        </is>
      </c>
      <c r="AE22" s="13" t="inlineStr">
        <is>
          <t xml:space="preserve">0,09 </t>
        </is>
      </c>
      <c r="AF22" s="13" t="inlineStr">
        <is>
          <t xml:space="preserve">0,08 </t>
        </is>
      </c>
      <c r="AG22" s="13" t="inlineStr">
        <is>
          <t xml:space="preserve">0,20 </t>
        </is>
      </c>
      <c r="AH22" s="13" t="inlineStr">
        <is>
          <t xml:space="preserve">0,08 </t>
        </is>
      </c>
      <c r="AI22" s="13" t="inlineStr">
        <is>
          <t xml:space="preserve">0,06 </t>
        </is>
      </c>
      <c r="AJ22" s="13" t="inlineStr">
        <is>
          <t xml:space="preserve">0,16 </t>
        </is>
      </c>
      <c r="AK22" s="13" t="inlineStr">
        <is>
          <t xml:space="preserve">0,08 </t>
        </is>
      </c>
      <c r="AL22" s="13" t="inlineStr">
        <is>
          <t xml:space="preserve">0,24 </t>
        </is>
      </c>
      <c r="AM22" s="13" t="inlineStr">
        <is>
          <t xml:space="preserve">0,22 </t>
        </is>
      </c>
      <c r="AN22" s="13" t="inlineStr">
        <is>
          <t xml:space="preserve">0,30 </t>
        </is>
      </c>
      <c r="AO22" s="13" t="inlineStr">
        <is>
          <t xml:space="preserve">0,22 </t>
        </is>
      </c>
      <c r="AP22" s="14" t="inlineStr">
        <is>
          <t xml:space="preserve">0,18 </t>
        </is>
      </c>
      <c r="AQ22" s="13" t="inlineStr">
        <is>
          <t xml:space="preserve">0,09 </t>
        </is>
      </c>
      <c r="AR22" s="13" t="inlineStr">
        <is>
          <t xml:space="preserve">0,10 </t>
        </is>
      </c>
    </row>
    <row r="23" ht="13.5" customHeight="1">
      <c r="A23" s="338" t="n">
        <v>1</v>
      </c>
      <c r="B23" s="339" t="inlineStr">
        <is>
          <t xml:space="preserve">AV DELLAPAR,494,PORTAO -ARUJA SP </t>
        </is>
      </c>
      <c r="C23" s="332" t="n"/>
      <c r="D23" s="333" t="n"/>
      <c r="E23" s="339" t="inlineStr">
        <is>
          <t xml:space="preserve">RUA 33,10- PARQUE JANDAIA-GUARULHOS SP </t>
        </is>
      </c>
      <c r="F23" s="332" t="n"/>
      <c r="G23" s="333" t="n"/>
      <c r="H23" s="353" t="n"/>
      <c r="I23" s="325" t="n"/>
      <c r="K23" s="195" t="n"/>
      <c r="L23" s="303" t="n"/>
      <c r="M23" s="316" t="n"/>
      <c r="O23" s="4" t="n"/>
      <c r="P23" s="4" t="n"/>
      <c r="Q23" s="12" t="inlineStr">
        <is>
          <t xml:space="preserve"> Rio de Janeiro </t>
        </is>
      </c>
      <c r="R23" s="13" t="inlineStr">
        <is>
          <t xml:space="preserve">0,26 </t>
        </is>
      </c>
      <c r="S23" s="13" t="inlineStr">
        <is>
          <t xml:space="preserve">0,14 </t>
        </is>
      </c>
      <c r="T23" s="13" t="inlineStr">
        <is>
          <t xml:space="preserve">0,22 </t>
        </is>
      </c>
      <c r="U23" s="13" t="inlineStr">
        <is>
          <t xml:space="preserve">0,28 </t>
        </is>
      </c>
      <c r="V23" s="13" t="inlineStr">
        <is>
          <t xml:space="preserve">0,10 </t>
        </is>
      </c>
      <c r="W23" s="13" t="inlineStr">
        <is>
          <t xml:space="preserve">0,18 </t>
        </is>
      </c>
      <c r="X23" s="13" t="inlineStr">
        <is>
          <t xml:space="preserve">0,09 </t>
        </is>
      </c>
      <c r="Y23" s="13" t="inlineStr">
        <is>
          <t xml:space="preserve">0,04 </t>
        </is>
      </c>
      <c r="Z23" s="13" t="inlineStr">
        <is>
          <t xml:space="preserve">0,09 </t>
        </is>
      </c>
      <c r="AA23" s="13" t="inlineStr">
        <is>
          <t xml:space="preserve">0,20 </t>
        </is>
      </c>
      <c r="AB23" s="13" t="inlineStr">
        <is>
          <t xml:space="preserve"> 0,14 </t>
        </is>
      </c>
      <c r="AC23" s="13" t="inlineStr">
        <is>
          <t xml:space="preserve">0,09 </t>
        </is>
      </c>
      <c r="AD23" s="13" t="inlineStr">
        <is>
          <t xml:space="preserve">0,05 </t>
        </is>
      </c>
      <c r="AE23" s="13" t="inlineStr">
        <is>
          <t xml:space="preserve">0,20 </t>
        </is>
      </c>
      <c r="AF23" s="13" t="inlineStr">
        <is>
          <t xml:space="preserve">0,16 </t>
        </is>
      </c>
      <c r="AG23" s="13" t="inlineStr">
        <is>
          <t xml:space="preserve">0,06 </t>
        </is>
      </c>
      <c r="AH23" s="13" t="inlineStr">
        <is>
          <t xml:space="preserve">0,16 </t>
        </is>
      </c>
      <c r="AI23" s="13" t="inlineStr">
        <is>
          <t xml:space="preserve">0,16 </t>
        </is>
      </c>
      <c r="AJ23" s="13" t="inlineStr">
        <is>
          <t xml:space="preserve">0,02 </t>
        </is>
      </c>
      <c r="AK23" s="13" t="inlineStr">
        <is>
          <t xml:space="preserve">0,18 </t>
        </is>
      </c>
      <c r="AL23" s="13" t="inlineStr">
        <is>
          <t xml:space="preserve">0,10 </t>
        </is>
      </c>
      <c r="AM23" s="13" t="inlineStr">
        <is>
          <t xml:space="preserve">0,22 </t>
        </is>
      </c>
      <c r="AN23" s="13" t="inlineStr">
        <is>
          <t xml:space="preserve">0,32 </t>
        </is>
      </c>
      <c r="AO23" s="13" t="inlineStr">
        <is>
          <t xml:space="preserve">0,08 </t>
        </is>
      </c>
      <c r="AP23" s="14" t="inlineStr">
        <is>
          <t xml:space="preserve">0,04 </t>
        </is>
      </c>
      <c r="AQ23" s="13" t="inlineStr">
        <is>
          <t xml:space="preserve">0,12 </t>
        </is>
      </c>
      <c r="AR23" s="13" t="inlineStr">
        <is>
          <t xml:space="preserve">0,14 </t>
        </is>
      </c>
    </row>
    <row r="24" ht="28.95" customHeight="1" thickBot="1">
      <c r="A24" s="343" t="n"/>
      <c r="B24" s="344" t="n"/>
      <c r="C24" s="345" t="n"/>
      <c r="D24" s="346" t="n"/>
      <c r="E24" s="344" t="n"/>
      <c r="F24" s="345" t="n"/>
      <c r="G24" s="346" t="n"/>
      <c r="H24" s="344" t="n"/>
      <c r="I24" s="328" t="n"/>
      <c r="L24" s="64" t="n">
        <v>0</v>
      </c>
      <c r="M24" s="316" t="n"/>
      <c r="N24" s="155" t="n"/>
      <c r="O24" s="4" t="n"/>
      <c r="P24" s="4" t="n"/>
      <c r="Q24" s="12" t="inlineStr">
        <is>
          <t xml:space="preserve"> R.Grande do Norte </t>
        </is>
      </c>
      <c r="R24" s="13" t="inlineStr">
        <is>
          <t xml:space="preserve">0,30 </t>
        </is>
      </c>
      <c r="S24" s="13" t="inlineStr">
        <is>
          <t xml:space="preserve">0,05 </t>
        </is>
      </c>
      <c r="T24" s="13" t="inlineStr">
        <is>
          <t xml:space="preserve">0,16 </t>
        </is>
      </c>
      <c r="U24" s="13" t="inlineStr">
        <is>
          <t xml:space="preserve">0,30 </t>
        </is>
      </c>
      <c r="V24" s="13" t="inlineStr">
        <is>
          <t xml:space="preserve">0,08 </t>
        </is>
      </c>
      <c r="W24" s="13" t="inlineStr">
        <is>
          <t xml:space="preserve">0,05 </t>
        </is>
      </c>
      <c r="X24" s="13" t="inlineStr">
        <is>
          <t xml:space="preserve">0,18 </t>
        </is>
      </c>
      <c r="Y24" s="13" t="inlineStr">
        <is>
          <t xml:space="preserve">0,14 </t>
        </is>
      </c>
      <c r="Z24" s="13" t="inlineStr">
        <is>
          <t xml:space="preserve">0,18 </t>
        </is>
      </c>
      <c r="AA24" s="13" t="inlineStr">
        <is>
          <t xml:space="preserve">0,10 </t>
        </is>
      </c>
      <c r="AB24" s="13" t="inlineStr">
        <is>
          <t xml:space="preserve"> 0,24 </t>
        </is>
      </c>
      <c r="AC24" s="13" t="inlineStr">
        <is>
          <t xml:space="preserve">0,26 </t>
        </is>
      </c>
      <c r="AD24" s="13" t="inlineStr">
        <is>
          <t xml:space="preserve">0,14 </t>
        </is>
      </c>
      <c r="AE24" s="13" t="inlineStr">
        <is>
          <t xml:space="preserve">0,12 </t>
        </is>
      </c>
      <c r="AF24" s="13" t="inlineStr">
        <is>
          <t xml:space="preserve">0,05 </t>
        </is>
      </c>
      <c r="AG24" s="13" t="inlineStr">
        <is>
          <t xml:space="preserve">0,22 </t>
        </is>
      </c>
      <c r="AH24" s="13" t="inlineStr">
        <is>
          <t xml:space="preserve">0,05 </t>
        </is>
      </c>
      <c r="AI24" s="13" t="inlineStr">
        <is>
          <t xml:space="preserve">0,08 </t>
        </is>
      </c>
      <c r="AJ24" s="13" t="inlineStr">
        <is>
          <t xml:space="preserve">0,18 </t>
        </is>
      </c>
      <c r="AK24" s="13" t="inlineStr">
        <is>
          <t xml:space="preserve">0,04 </t>
        </is>
      </c>
      <c r="AL24" s="13" t="inlineStr">
        <is>
          <t xml:space="preserve">0,26 </t>
        </is>
      </c>
      <c r="AM24" s="13" t="inlineStr">
        <is>
          <t xml:space="preserve">0,28 </t>
        </is>
      </c>
      <c r="AN24" s="13" t="inlineStr">
        <is>
          <t xml:space="preserve">0,32 </t>
        </is>
      </c>
      <c r="AO24" s="13" t="inlineStr">
        <is>
          <t xml:space="preserve">0,24 </t>
        </is>
      </c>
      <c r="AP24" s="14" t="inlineStr">
        <is>
          <t xml:space="preserve">0,18 </t>
        </is>
      </c>
      <c r="AQ24" s="13" t="inlineStr">
        <is>
          <t xml:space="preserve">0,06 </t>
        </is>
      </c>
      <c r="AR24" s="13" t="inlineStr">
        <is>
          <t xml:space="preserve">0,13 </t>
        </is>
      </c>
    </row>
    <row r="25" ht="15" customHeight="1" thickBot="1">
      <c r="J25" s="27" t="n"/>
      <c r="K25" s="195" t="n">
        <v>0</v>
      </c>
      <c r="L25" s="303" t="n"/>
      <c r="M25" s="354" t="n"/>
      <c r="N25" s="355" t="n"/>
      <c r="O25" s="4" t="n"/>
      <c r="P25" s="4" t="n"/>
      <c r="Q25" s="12" t="inlineStr">
        <is>
          <t xml:space="preserve"> R.Grande do Sul </t>
        </is>
      </c>
      <c r="R25" s="13" t="inlineStr">
        <is>
          <t xml:space="preserve">0,28 </t>
        </is>
      </c>
      <c r="S25" s="13" t="inlineStr">
        <is>
          <t xml:space="preserve">0,22 </t>
        </is>
      </c>
      <c r="T25" s="13" t="inlineStr">
        <is>
          <t xml:space="preserve">0,28 </t>
        </is>
      </c>
      <c r="U25" s="13" t="inlineStr">
        <is>
          <t xml:space="preserve">0,30 </t>
        </is>
      </c>
      <c r="V25" s="13" t="inlineStr">
        <is>
          <t xml:space="preserve">0,18 </t>
        </is>
      </c>
      <c r="W25" s="13" t="inlineStr">
        <is>
          <t xml:space="preserve">0,26 </t>
        </is>
      </c>
      <c r="X25" s="13" t="inlineStr">
        <is>
          <t xml:space="preserve">0,11 </t>
        </is>
      </c>
      <c r="Y25" s="13" t="inlineStr">
        <is>
          <t xml:space="preserve">0,12 </t>
        </is>
      </c>
      <c r="Z25" s="13" t="inlineStr">
        <is>
          <t xml:space="preserve">0,11 </t>
        </is>
      </c>
      <c r="AA25" s="13" t="inlineStr">
        <is>
          <t xml:space="preserve">0,28 </t>
        </is>
      </c>
      <c r="AB25" s="13" t="inlineStr">
        <is>
          <t xml:space="preserve"> 0,16 </t>
        </is>
      </c>
      <c r="AC25" s="13" t="inlineStr">
        <is>
          <t xml:space="preserve">0,11 </t>
        </is>
      </c>
      <c r="AD25" s="13" t="inlineStr">
        <is>
          <t xml:space="preserve">0,10 </t>
        </is>
      </c>
      <c r="AE25" s="13" t="inlineStr">
        <is>
          <t xml:space="preserve">0,26 </t>
        </is>
      </c>
      <c r="AF25" s="13" t="inlineStr">
        <is>
          <t xml:space="preserve">0,24 </t>
        </is>
      </c>
      <c r="AG25" s="13" t="inlineStr">
        <is>
          <t xml:space="preserve">0,06 </t>
        </is>
      </c>
      <c r="AH25" s="13" t="inlineStr">
        <is>
          <t xml:space="preserve">0,24 </t>
        </is>
      </c>
      <c r="AI25" s="13" t="inlineStr">
        <is>
          <t xml:space="preserve">0,24 </t>
        </is>
      </c>
      <c r="AJ25" s="13" t="inlineStr">
        <is>
          <t xml:space="preserve">0,10 </t>
        </is>
      </c>
      <c r="AK25" s="13" t="inlineStr">
        <is>
          <t xml:space="preserve">0,26 </t>
        </is>
      </c>
      <c r="AL25" s="13" t="inlineStr">
        <is>
          <t xml:space="preserve">0,03 </t>
        </is>
      </c>
      <c r="AM25" s="13" t="inlineStr">
        <is>
          <t xml:space="preserve">0,24 </t>
        </is>
      </c>
      <c r="AN25" s="13" t="inlineStr">
        <is>
          <t xml:space="preserve">0,32 </t>
        </is>
      </c>
      <c r="AO25" s="13" t="inlineStr">
        <is>
          <t xml:space="preserve">0,04 </t>
        </is>
      </c>
      <c r="AP25" s="14" t="inlineStr">
        <is>
          <t xml:space="preserve">0,07 </t>
        </is>
      </c>
      <c r="AQ25" s="13" t="inlineStr">
        <is>
          <t xml:space="preserve">0,20 </t>
        </is>
      </c>
      <c r="AR25" s="13" t="inlineStr">
        <is>
          <t xml:space="preserve">0,20 </t>
        </is>
      </c>
    </row>
    <row r="26">
      <c r="A26" s="78" t="n"/>
      <c r="B26" s="78" t="n"/>
      <c r="C26" s="85" t="inlineStr">
        <is>
          <t>Valor do Frete:</t>
        </is>
      </c>
      <c r="D26" s="86" t="n"/>
      <c r="E26" s="356">
        <f>M22</f>
        <v/>
      </c>
      <c r="F26" s="357" t="n"/>
      <c r="G26" s="358" t="n"/>
      <c r="H26" s="78" t="n"/>
      <c r="I26" s="78" t="n"/>
      <c r="L26" s="28" t="n">
        <v>0</v>
      </c>
      <c r="M26" s="331" t="n"/>
      <c r="N26" s="30" t="n"/>
      <c r="O26" s="4" t="n"/>
      <c r="P26" s="4" t="n"/>
      <c r="Q26" s="12" t="inlineStr">
        <is>
          <t xml:space="preserve"> Rondônia </t>
        </is>
      </c>
      <c r="R26" s="13" t="inlineStr">
        <is>
          <t xml:space="preserve">0,05 </t>
        </is>
      </c>
      <c r="S26" s="13" t="inlineStr">
        <is>
          <t xml:space="preserve">0,26 </t>
        </is>
      </c>
      <c r="T26" s="13" t="inlineStr">
        <is>
          <t xml:space="preserve">0,22 </t>
        </is>
      </c>
      <c r="U26" s="13" t="inlineStr">
        <is>
          <t xml:space="preserve">0,09 </t>
        </is>
      </c>
      <c r="V26" s="13" t="inlineStr">
        <is>
          <t xml:space="preserve">0,26 </t>
        </is>
      </c>
      <c r="W26" s="13" t="inlineStr">
        <is>
          <t xml:space="preserve">0,26 </t>
        </is>
      </c>
      <c r="X26" s="13" t="inlineStr">
        <is>
          <t xml:space="preserve">0,14 </t>
        </is>
      </c>
      <c r="Y26" s="13" t="inlineStr">
        <is>
          <t xml:space="preserve">0,22 </t>
        </is>
      </c>
      <c r="Z26" s="13" t="inlineStr">
        <is>
          <t xml:space="preserve">0,14 </t>
        </is>
      </c>
      <c r="AA26" s="13" t="inlineStr">
        <is>
          <t xml:space="preserve">0,24 </t>
        </is>
      </c>
      <c r="AB26" s="13" t="inlineStr">
        <is>
          <t xml:space="preserve"> 0,09 </t>
        </is>
      </c>
      <c r="AC26" s="13" t="inlineStr">
        <is>
          <t xml:space="preserve">0,14 </t>
        </is>
      </c>
      <c r="AD26" s="13" t="inlineStr">
        <is>
          <t xml:space="preserve">0,20 </t>
        </is>
      </c>
      <c r="AE26" s="13" t="inlineStr">
        <is>
          <t xml:space="preserve">0,20 </t>
        </is>
      </c>
      <c r="AF26" s="13" t="inlineStr">
        <is>
          <t xml:space="preserve">0,28 </t>
        </is>
      </c>
      <c r="AG26" s="13" t="inlineStr">
        <is>
          <t xml:space="preserve">0,20 </t>
        </is>
      </c>
      <c r="AH26" s="13" t="inlineStr">
        <is>
          <t xml:space="preserve">0,26 </t>
        </is>
      </c>
      <c r="AI26" s="13" t="inlineStr">
        <is>
          <t xml:space="preserve">0,22 </t>
        </is>
      </c>
      <c r="AJ26" s="13" t="inlineStr">
        <is>
          <t xml:space="preserve">0,22 </t>
        </is>
      </c>
      <c r="AK26" s="13" t="inlineStr">
        <is>
          <t xml:space="preserve">0,28 </t>
        </is>
      </c>
      <c r="AL26" s="13" t="inlineStr">
        <is>
          <t xml:space="preserve">0,24 </t>
        </is>
      </c>
      <c r="AM26" s="13" t="inlineStr">
        <is>
          <t xml:space="preserve">0,04 </t>
        </is>
      </c>
      <c r="AN26" s="13" t="inlineStr">
        <is>
          <t xml:space="preserve">0,10 </t>
        </is>
      </c>
      <c r="AO26" s="13" t="inlineStr">
        <is>
          <t xml:space="preserve">0,22 </t>
        </is>
      </c>
      <c r="AP26" s="14" t="inlineStr">
        <is>
          <t xml:space="preserve">0,20 </t>
        </is>
      </c>
      <c r="AQ26" s="13" t="inlineStr">
        <is>
          <t xml:space="preserve">0,28 </t>
        </is>
      </c>
      <c r="AR26" s="13" t="inlineStr">
        <is>
          <t xml:space="preserve">0,20 </t>
        </is>
      </c>
    </row>
    <row r="27" ht="15.75" customHeight="1">
      <c r="A27" s="79" t="n"/>
      <c r="B27" s="81" t="n"/>
      <c r="C27" s="43" t="inlineStr">
        <is>
          <t>Valor do Seguro:</t>
        </is>
      </c>
      <c r="D27" s="44" t="n"/>
      <c r="E27" s="359">
        <f>K12</f>
        <v/>
      </c>
      <c r="F27" s="360" t="n"/>
      <c r="G27" s="361" t="n"/>
      <c r="H27" s="82" t="n"/>
      <c r="I27" s="82" t="n"/>
      <c r="O27" s="4" t="n"/>
      <c r="P27" s="4" t="n"/>
      <c r="Q27" s="12" t="inlineStr">
        <is>
          <t xml:space="preserve"> Roraima </t>
        </is>
      </c>
      <c r="R27" s="13" t="inlineStr">
        <is>
          <t xml:space="preserve">0,14 </t>
        </is>
      </c>
      <c r="S27" s="13" t="inlineStr">
        <is>
          <t xml:space="preserve">0,32 </t>
        </is>
      </c>
      <c r="T27" s="13" t="inlineStr">
        <is>
          <t xml:space="preserve">0,30 </t>
        </is>
      </c>
      <c r="U27" s="13" t="inlineStr">
        <is>
          <t xml:space="preserve">0,09 </t>
        </is>
      </c>
      <c r="V27" s="13" t="inlineStr">
        <is>
          <t xml:space="preserve">0,32 </t>
        </is>
      </c>
      <c r="W27" s="13" t="inlineStr">
        <is>
          <t xml:space="preserve">0,32 </t>
        </is>
      </c>
      <c r="X27" s="13" t="inlineStr">
        <is>
          <t xml:space="preserve">0,26 </t>
        </is>
      </c>
      <c r="Y27" s="13" t="inlineStr">
        <is>
          <t xml:space="preserve">0,32 </t>
        </is>
      </c>
      <c r="Z27" s="13" t="inlineStr">
        <is>
          <t xml:space="preserve">0,26 </t>
        </is>
      </c>
      <c r="AA27" s="13" t="inlineStr">
        <is>
          <t xml:space="preserve">0,32 </t>
        </is>
      </c>
      <c r="AB27" s="13" t="inlineStr">
        <is>
          <t xml:space="preserve"> 0,24 </t>
        </is>
      </c>
      <c r="AC27" s="13" t="inlineStr">
        <is>
          <t xml:space="preserve">0,26 </t>
        </is>
      </c>
      <c r="AD27" s="13" t="inlineStr">
        <is>
          <t xml:space="preserve">0,30 </t>
        </is>
      </c>
      <c r="AE27" s="13" t="inlineStr">
        <is>
          <t xml:space="preserve">0,28 </t>
        </is>
      </c>
      <c r="AF27" s="13" t="inlineStr">
        <is>
          <t xml:space="preserve">0,32 </t>
        </is>
      </c>
      <c r="AG27" s="13" t="inlineStr">
        <is>
          <t xml:space="preserve">0,30 </t>
        </is>
      </c>
      <c r="AH27" s="13" t="inlineStr">
        <is>
          <t xml:space="preserve">0,32 </t>
        </is>
      </c>
      <c r="AI27" s="13" t="inlineStr">
        <is>
          <t xml:space="preserve">0,30 </t>
        </is>
      </c>
      <c r="AJ27" s="13" t="inlineStr">
        <is>
          <t xml:space="preserve">0,32 </t>
        </is>
      </c>
      <c r="AK27" s="13" t="inlineStr">
        <is>
          <t xml:space="preserve">0,32 </t>
        </is>
      </c>
      <c r="AL27" s="13" t="inlineStr">
        <is>
          <t xml:space="preserve">0,32 </t>
        </is>
      </c>
      <c r="AM27" s="13" t="inlineStr">
        <is>
          <t xml:space="preserve">0,10 </t>
        </is>
      </c>
      <c r="AN27" s="13" t="inlineStr">
        <is>
          <t xml:space="preserve">0,08 </t>
        </is>
      </c>
      <c r="AO27" s="13" t="inlineStr">
        <is>
          <t xml:space="preserve">0,32 </t>
        </is>
      </c>
      <c r="AP27" s="14" t="inlineStr">
        <is>
          <t xml:space="preserve">0,30 </t>
        </is>
      </c>
      <c r="AQ27" s="13" t="inlineStr">
        <is>
          <t xml:space="preserve">0,32 </t>
        </is>
      </c>
      <c r="AR27" s="13" t="inlineStr">
        <is>
          <t xml:space="preserve">0,24 </t>
        </is>
      </c>
    </row>
    <row r="28" ht="15.75" customHeight="1" thickBot="1">
      <c r="C28" s="83" t="inlineStr">
        <is>
          <t>Valor do Imposto:</t>
        </is>
      </c>
      <c r="D28" s="84" t="n"/>
      <c r="E28" s="362" t="n">
        <v>0</v>
      </c>
      <c r="F28" s="363" t="n"/>
      <c r="G28" s="364" t="n"/>
      <c r="J28" s="1" t="inlineStr">
        <is>
          <t> </t>
        </is>
      </c>
      <c r="N28" s="3" t="n"/>
      <c r="O28" s="4" t="n"/>
      <c r="P28" s="4" t="n"/>
      <c r="Q28" s="12" t="inlineStr">
        <is>
          <t xml:space="preserve"> Santa Catarina </t>
        </is>
      </c>
      <c r="R28" s="50" t="inlineStr">
        <is>
          <t xml:space="preserve">0,26 </t>
        </is>
      </c>
      <c r="S28" s="50" t="inlineStr">
        <is>
          <t xml:space="preserve">0,20 </t>
        </is>
      </c>
      <c r="T28" s="50" t="inlineStr">
        <is>
          <t xml:space="preserve">0,24 </t>
        </is>
      </c>
      <c r="U28" s="50" t="inlineStr">
        <is>
          <t xml:space="preserve">0,28 </t>
        </is>
      </c>
      <c r="V28" s="50" t="inlineStr">
        <is>
          <t xml:space="preserve">0,16 </t>
        </is>
      </c>
      <c r="W28" s="50" t="inlineStr">
        <is>
          <t xml:space="preserve">0,24 </t>
        </is>
      </c>
      <c r="X28" s="50" t="inlineStr">
        <is>
          <t xml:space="preserve">0,09 </t>
        </is>
      </c>
      <c r="Y28" s="50" t="inlineStr">
        <is>
          <t xml:space="preserve">0,10 </t>
        </is>
      </c>
      <c r="Z28" s="50" t="inlineStr">
        <is>
          <t xml:space="preserve">0,09 </t>
        </is>
      </c>
      <c r="AA28" s="50" t="inlineStr">
        <is>
          <t xml:space="preserve">0,26 </t>
        </is>
      </c>
      <c r="AB28" s="50" t="inlineStr">
        <is>
          <t xml:space="preserve"> 0,12 </t>
        </is>
      </c>
      <c r="AC28" s="50" t="inlineStr">
        <is>
          <t xml:space="preserve">0,09 </t>
        </is>
      </c>
      <c r="AD28" s="50" t="inlineStr">
        <is>
          <t xml:space="preserve">0,08 </t>
        </is>
      </c>
      <c r="AE28" s="50" t="inlineStr">
        <is>
          <t xml:space="preserve">0,22 </t>
        </is>
      </c>
      <c r="AF28" s="50" t="inlineStr">
        <is>
          <t xml:space="preserve">0,22 </t>
        </is>
      </c>
      <c r="AG28" s="50" t="inlineStr">
        <is>
          <t xml:space="preserve">0,04 </t>
        </is>
      </c>
      <c r="AH28" s="50" t="inlineStr">
        <is>
          <t xml:space="preserve">0,24 </t>
        </is>
      </c>
      <c r="AI28" s="50" t="inlineStr">
        <is>
          <t xml:space="preserve">0,22 </t>
        </is>
      </c>
      <c r="AJ28" s="50" t="inlineStr">
        <is>
          <t xml:space="preserve">0,08 </t>
        </is>
      </c>
      <c r="AK28" s="50" t="inlineStr">
        <is>
          <t xml:space="preserve">0,24 </t>
        </is>
      </c>
      <c r="AL28" s="50" t="inlineStr">
        <is>
          <t xml:space="preserve">0,04 </t>
        </is>
      </c>
      <c r="AM28" s="50" t="inlineStr">
        <is>
          <t xml:space="preserve">0,22 </t>
        </is>
      </c>
      <c r="AN28" s="50" t="inlineStr">
        <is>
          <t xml:space="preserve">0,32 </t>
        </is>
      </c>
      <c r="AO28" s="50" t="inlineStr">
        <is>
          <t xml:space="preserve">0,03 </t>
        </is>
      </c>
      <c r="AP28" s="50" t="inlineStr">
        <is>
          <t xml:space="preserve">0,05 </t>
        </is>
      </c>
      <c r="AQ28" s="50" t="inlineStr">
        <is>
          <t xml:space="preserve">0,18 </t>
        </is>
      </c>
      <c r="AR28" s="50" t="inlineStr">
        <is>
          <t xml:space="preserve">0,18 </t>
        </is>
      </c>
    </row>
    <row r="29" ht="15.75" customHeight="1">
      <c r="A29" s="28" t="n"/>
      <c r="B29" s="80" t="n"/>
      <c r="C29" s="285" t="inlineStr">
        <is>
          <t>Total base a base:</t>
        </is>
      </c>
      <c r="D29" s="365" t="n"/>
      <c r="E29" s="366">
        <f>SUM(E26:G28)</f>
        <v/>
      </c>
      <c r="F29" s="367" t="n"/>
      <c r="G29" s="368" t="n"/>
      <c r="H29" s="80" t="n"/>
      <c r="I29" s="80" t="n"/>
      <c r="N29" s="3" t="n"/>
      <c r="O29" s="4" t="n"/>
      <c r="P29" s="4" t="n"/>
      <c r="Q29" s="38" t="inlineStr">
        <is>
          <t xml:space="preserve"> Sao Paulo </t>
        </is>
      </c>
      <c r="R29" s="14" t="inlineStr">
        <is>
          <t xml:space="preserve">0,24 </t>
        </is>
      </c>
      <c r="S29" s="14" t="inlineStr">
        <is>
          <t xml:space="preserve">0,16 </t>
        </is>
      </c>
      <c r="T29" s="14" t="inlineStr">
        <is>
          <t xml:space="preserve">0,20 </t>
        </is>
      </c>
      <c r="U29" s="14" t="inlineStr">
        <is>
          <t xml:space="preserve">0,26 </t>
        </is>
      </c>
      <c r="V29" s="14" t="inlineStr">
        <is>
          <t xml:space="preserve">0,12 </t>
        </is>
      </c>
      <c r="W29" s="14" t="inlineStr">
        <is>
          <t xml:space="preserve">0,20 </t>
        </is>
      </c>
      <c r="X29" s="14" t="inlineStr">
        <is>
          <t xml:space="preserve">0,06 </t>
        </is>
      </c>
      <c r="Y29" s="14" t="inlineStr">
        <is>
          <t xml:space="preserve">0,07 </t>
        </is>
      </c>
      <c r="Z29" s="14" t="inlineStr">
        <is>
          <t xml:space="preserve">0,06 </t>
        </is>
      </c>
      <c r="AA29" s="14" t="inlineStr">
        <is>
          <t xml:space="preserve">0,20 </t>
        </is>
      </c>
      <c r="AB29" s="14" t="inlineStr">
        <is>
          <t xml:space="preserve"> 0,11 </t>
        </is>
      </c>
      <c r="AC29" s="14" t="inlineStr">
        <is>
          <t xml:space="preserve">0,07 </t>
        </is>
      </c>
      <c r="AD29" s="14" t="inlineStr">
        <is>
          <t xml:space="preserve">0,05 </t>
        </is>
      </c>
      <c r="AE29" s="14" t="inlineStr">
        <is>
          <t xml:space="preserve">0,18 </t>
        </is>
      </c>
      <c r="AF29" s="14" t="inlineStr">
        <is>
          <t xml:space="preserve">0,18 </t>
        </is>
      </c>
      <c r="AG29" s="14" t="inlineStr">
        <is>
          <t xml:space="preserve">0,04 </t>
        </is>
      </c>
      <c r="AH29" s="14" t="inlineStr">
        <is>
          <t xml:space="preserve">0,16 </t>
        </is>
      </c>
      <c r="AI29" s="14" t="inlineStr">
        <is>
          <t xml:space="preserve">0,18 </t>
        </is>
      </c>
      <c r="AJ29" s="14" t="inlineStr">
        <is>
          <t xml:space="preserve">0,04 </t>
        </is>
      </c>
      <c r="AK29" s="14" t="inlineStr">
        <is>
          <t xml:space="preserve">0,18 </t>
        </is>
      </c>
      <c r="AL29" s="14" t="inlineStr">
        <is>
          <t xml:space="preserve">0,07 </t>
        </is>
      </c>
      <c r="AM29" s="14" t="inlineStr">
        <is>
          <t xml:space="preserve">0,20 </t>
        </is>
      </c>
      <c r="AN29" s="14" t="inlineStr">
        <is>
          <t xml:space="preserve">0,30 </t>
        </is>
      </c>
      <c r="AO29" s="14" t="inlineStr">
        <is>
          <t xml:space="preserve">0,05 </t>
        </is>
      </c>
      <c r="AP29" s="14" t="inlineStr">
        <is>
          <t xml:space="preserve">0,02 </t>
        </is>
      </c>
      <c r="AQ29" s="14" t="inlineStr">
        <is>
          <t xml:space="preserve">0,14 </t>
        </is>
      </c>
      <c r="AR29" s="14" t="inlineStr">
        <is>
          <t xml:space="preserve">0,14 </t>
        </is>
      </c>
    </row>
    <row r="30" ht="15.75" customHeight="1" thickBot="1">
      <c r="C30" s="369" t="n"/>
      <c r="D30" s="370" t="n"/>
      <c r="E30" s="371" t="n"/>
      <c r="F30" s="372" t="n"/>
      <c r="G30" s="373" t="n"/>
      <c r="M30" s="41" t="n"/>
      <c r="N30" s="4" t="n"/>
      <c r="Q30" s="12" t="inlineStr">
        <is>
          <t xml:space="preserve"> Sergipe </t>
        </is>
      </c>
      <c r="R30" s="13" t="inlineStr">
        <is>
          <t xml:space="preserve">0,30 </t>
        </is>
      </c>
      <c r="S30" s="13" t="inlineStr">
        <is>
          <t xml:space="preserve">0,05 </t>
        </is>
      </c>
      <c r="T30" s="13" t="inlineStr">
        <is>
          <t xml:space="preserve">0,16 </t>
        </is>
      </c>
      <c r="U30" s="13" t="inlineStr">
        <is>
          <t xml:space="preserve">0,32 </t>
        </is>
      </c>
      <c r="V30" s="13" t="inlineStr">
        <is>
          <t xml:space="preserve">0,06 </t>
        </is>
      </c>
      <c r="W30" s="13" t="inlineStr">
        <is>
          <t xml:space="preserve">0,08 </t>
        </is>
      </c>
      <c r="X30" s="13" t="inlineStr">
        <is>
          <t xml:space="preserve">0,12 </t>
        </is>
      </c>
      <c r="Y30" s="13" t="inlineStr">
        <is>
          <t xml:space="preserve">0,09 </t>
        </is>
      </c>
      <c r="Z30" s="13" t="inlineStr">
        <is>
          <t xml:space="preserve">0,12 </t>
        </is>
      </c>
      <c r="AA30" s="13" t="inlineStr">
        <is>
          <t xml:space="preserve">0,11 </t>
        </is>
      </c>
      <c r="AB30" s="13" t="inlineStr">
        <is>
          <t xml:space="preserve"> 0,18 </t>
        </is>
      </c>
      <c r="AC30" s="13" t="inlineStr">
        <is>
          <t xml:space="preserve">0,20 </t>
        </is>
      </c>
      <c r="AD30" s="13" t="inlineStr">
        <is>
          <t xml:space="preserve">0,10 </t>
        </is>
      </c>
      <c r="AE30" s="13" t="inlineStr">
        <is>
          <t xml:space="preserve">0,14 </t>
        </is>
      </c>
      <c r="AF30" s="13" t="inlineStr">
        <is>
          <t xml:space="preserve">0,05 </t>
        </is>
      </c>
      <c r="AG30" s="13" t="inlineStr">
        <is>
          <t xml:space="preserve">0,16 </t>
        </is>
      </c>
      <c r="AH30" s="13" t="inlineStr">
        <is>
          <t xml:space="preserve">0,05 </t>
        </is>
      </c>
      <c r="AI30" s="13" t="inlineStr">
        <is>
          <t xml:space="preserve">0,09 </t>
        </is>
      </c>
      <c r="AJ30" s="13" t="inlineStr">
        <is>
          <t xml:space="preserve">0,12 </t>
        </is>
      </c>
      <c r="AK30" s="13" t="inlineStr">
        <is>
          <t xml:space="preserve">0,06 </t>
        </is>
      </c>
      <c r="AL30" s="13" t="inlineStr">
        <is>
          <t xml:space="preserve">0,20 </t>
        </is>
      </c>
      <c r="AM30" s="13" t="inlineStr">
        <is>
          <t xml:space="preserve">0,28 </t>
        </is>
      </c>
      <c r="AN30" s="13" t="inlineStr">
        <is>
          <t xml:space="preserve">0,32 </t>
        </is>
      </c>
      <c r="AO30" s="13" t="inlineStr">
        <is>
          <t xml:space="preserve">0,18 </t>
        </is>
      </c>
      <c r="AP30" s="14" t="inlineStr">
        <is>
          <t xml:space="preserve">0,14 </t>
        </is>
      </c>
      <c r="AQ30" s="13" t="inlineStr">
        <is>
          <t xml:space="preserve">0,04 </t>
        </is>
      </c>
      <c r="AR30" s="13" t="inlineStr">
        <is>
          <t xml:space="preserve">0,11 </t>
        </is>
      </c>
    </row>
    <row r="31" ht="18" customHeight="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M31" s="26" t="n"/>
      <c r="N31" s="26" t="n"/>
      <c r="Q31" s="12" t="inlineStr">
        <is>
          <t xml:space="preserve"> Tocantis      </t>
        </is>
      </c>
      <c r="R31" s="13" t="inlineStr">
        <is>
          <t xml:space="preserve">0,23 </t>
        </is>
      </c>
      <c r="S31" s="13" t="inlineStr">
        <is>
          <t xml:space="preserve">0,12 </t>
        </is>
      </c>
      <c r="T31" s="13" t="inlineStr">
        <is>
          <t xml:space="preserve">0,13 </t>
        </is>
      </c>
      <c r="U31" s="13" t="inlineStr">
        <is>
          <t xml:space="preserve">0,20 </t>
        </is>
      </c>
      <c r="V31" s="13" t="inlineStr">
        <is>
          <t xml:space="preserve">0,11 </t>
        </is>
      </c>
      <c r="W31" s="13" t="inlineStr">
        <is>
          <t xml:space="preserve">0,13 </t>
        </is>
      </c>
      <c r="X31" s="13" t="inlineStr">
        <is>
          <t xml:space="preserve">0,07 </t>
        </is>
      </c>
      <c r="Y31" s="13" t="inlineStr">
        <is>
          <t xml:space="preserve">0,14 </t>
        </is>
      </c>
      <c r="Z31" s="13" t="inlineStr">
        <is>
          <t xml:space="preserve">0,08 </t>
        </is>
      </c>
      <c r="AA31" s="13" t="inlineStr">
        <is>
          <t xml:space="preserve">0,11 </t>
        </is>
      </c>
      <c r="AB31" s="13" t="inlineStr">
        <is>
          <t xml:space="preserve"> 0,10 </t>
        </is>
      </c>
      <c r="AC31" s="13" t="inlineStr">
        <is>
          <t xml:space="preserve">0,14 </t>
        </is>
      </c>
      <c r="AD31" s="13" t="inlineStr">
        <is>
          <t xml:space="preserve">0,13 </t>
        </is>
      </c>
      <c r="AE31" s="13" t="inlineStr">
        <is>
          <t xml:space="preserve">0,12 </t>
        </is>
      </c>
      <c r="AF31" s="13" t="inlineStr">
        <is>
          <t xml:space="preserve">0,13 </t>
        </is>
      </c>
      <c r="AG31" s="13" t="inlineStr">
        <is>
          <t xml:space="preserve">0,18 </t>
        </is>
      </c>
      <c r="AH31" s="13" t="inlineStr">
        <is>
          <t xml:space="preserve">0,12 </t>
        </is>
      </c>
      <c r="AI31" s="13" t="inlineStr">
        <is>
          <t xml:space="preserve">0,10 </t>
        </is>
      </c>
      <c r="AJ31" s="13" t="inlineStr">
        <is>
          <t xml:space="preserve">0,14 </t>
        </is>
      </c>
      <c r="AK31" s="13" t="inlineStr">
        <is>
          <t xml:space="preserve">0,13 </t>
        </is>
      </c>
      <c r="AL31" s="13" t="inlineStr">
        <is>
          <t xml:space="preserve">0,20 </t>
        </is>
      </c>
      <c r="AM31" s="13" t="inlineStr">
        <is>
          <t xml:space="preserve">0,20 </t>
        </is>
      </c>
      <c r="AN31" s="13" t="inlineStr">
        <is>
          <t xml:space="preserve">0,24 </t>
        </is>
      </c>
      <c r="AO31" s="13" t="inlineStr">
        <is>
          <t xml:space="preserve">0,18 </t>
        </is>
      </c>
      <c r="AP31" s="14" t="inlineStr">
        <is>
          <t xml:space="preserve">0,14 </t>
        </is>
      </c>
      <c r="AQ31" s="13" t="inlineStr">
        <is>
          <t xml:space="preserve">0,11 </t>
        </is>
      </c>
      <c r="AR31" s="13" t="inlineStr">
        <is>
          <t xml:space="preserve">0,06 </t>
        </is>
      </c>
    </row>
    <row r="32" ht="13.5" customHeight="1">
      <c r="A32" s="181" t="inlineStr">
        <is>
          <t xml:space="preserve">2 - TRANSPORTE PORTA A PORTA                                                                                                                           </t>
        </is>
      </c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60" t="n"/>
      <c r="K32" s="347" t="n"/>
      <c r="L32" s="64" t="inlineStr">
        <is>
          <t>CARTÃO DE CREDITO 3X</t>
        </is>
      </c>
      <c r="M32" s="93" t="n">
        <v>0.074</v>
      </c>
      <c r="N32" s="3" t="inlineStr">
        <is>
          <t>LUCRO</t>
        </is>
      </c>
      <c r="O32" s="4" t="n"/>
      <c r="P32" s="4" t="n"/>
      <c r="Q32" s="12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4" t="n"/>
      <c r="AQ32" s="13" t="n"/>
      <c r="AR32" s="13" t="n"/>
    </row>
    <row r="33" ht="15" customHeight="1" thickBot="1">
      <c r="A33" s="151" t="inlineStr">
        <is>
          <t>(Nesta modalidade enviamos um caminhão guincho plataforma para coleta e entrega nos endereços (confirmar end))</t>
        </is>
      </c>
      <c r="B33" s="345" t="n"/>
      <c r="C33" s="345" t="n"/>
      <c r="D33" s="345" t="n"/>
      <c r="E33" s="345" t="n"/>
      <c r="F33" s="345" t="n"/>
      <c r="G33" s="345" t="n"/>
      <c r="H33" s="345" t="n"/>
      <c r="I33" s="345" t="n"/>
      <c r="L33" s="74" t="inlineStr">
        <is>
          <t>TAXA BASE A BASE</t>
        </is>
      </c>
      <c r="M33" s="348">
        <f>E29*M32</f>
        <v/>
      </c>
      <c r="N33" s="348">
        <f>N22-M33</f>
        <v/>
      </c>
    </row>
    <row r="34" ht="13.8" customHeight="1" thickBot="1">
      <c r="A34" s="88" t="inlineStr">
        <is>
          <t>Item</t>
        </is>
      </c>
      <c r="B34" s="374" t="inlineStr">
        <is>
          <t>Descrição</t>
        </is>
      </c>
      <c r="C34" s="375" t="n"/>
      <c r="D34" s="376" t="n"/>
      <c r="E34" s="374" t="inlineStr">
        <is>
          <t>Local:</t>
        </is>
      </c>
      <c r="F34" s="375" t="n"/>
      <c r="G34" s="376" t="n"/>
      <c r="H34" s="377" t="inlineStr">
        <is>
          <t>Valor</t>
        </is>
      </c>
      <c r="I34" s="378" t="n"/>
      <c r="L34" s="28" t="inlineStr">
        <is>
          <t>TAXA PORTA A PORTA</t>
        </is>
      </c>
      <c r="M34" s="348">
        <f>E38*M32</f>
        <v/>
      </c>
      <c r="N34" s="348">
        <f>N22-M34</f>
        <v/>
      </c>
    </row>
    <row r="35" ht="12.6" customHeight="1">
      <c r="A35" s="39" t="n">
        <v>1</v>
      </c>
      <c r="B35" s="278" t="inlineStr">
        <is>
          <t>COLETA NO ENDEREÇO</t>
        </is>
      </c>
      <c r="C35" s="379" t="n"/>
      <c r="D35" s="380" t="n"/>
      <c r="E35" s="278" t="inlineStr">
        <is>
          <t>NATAL RN (CONF END)</t>
        </is>
      </c>
      <c r="F35" s="379" t="n"/>
      <c r="G35" s="380" t="n"/>
      <c r="H35" s="381">
        <f>K10</f>
        <v/>
      </c>
      <c r="I35" s="380" t="n"/>
      <c r="L35" s="28" t="n"/>
      <c r="M35" s="348" t="n"/>
      <c r="N35" s="348" t="n"/>
    </row>
    <row r="36" ht="13.5" customHeight="1" thickBot="1">
      <c r="A36" s="40" t="n">
        <v>1</v>
      </c>
      <c r="B36" s="222" t="inlineStr">
        <is>
          <t>ENTREGA NO ENDEREÇO</t>
        </is>
      </c>
      <c r="C36" s="382" t="n"/>
      <c r="D36" s="383" t="n"/>
      <c r="E36" s="222" t="inlineStr">
        <is>
          <t>INDISPONIVEL</t>
        </is>
      </c>
      <c r="F36" s="382" t="n"/>
      <c r="G36" s="383" t="n"/>
      <c r="H36" s="384">
        <f>K11</f>
        <v/>
      </c>
      <c r="I36" s="383" t="n"/>
      <c r="L36" s="28" t="n"/>
      <c r="M36" s="348" t="n"/>
      <c r="N36" s="348" t="n"/>
    </row>
    <row r="37" ht="13.8" customHeight="1" thickBot="1">
      <c r="A37" s="77" t="n"/>
      <c r="B37" s="77" t="n"/>
      <c r="C37" s="385" t="n"/>
      <c r="D37" s="303" t="n"/>
      <c r="E37" s="386" t="n"/>
      <c r="F37" s="150" t="n"/>
      <c r="G37" s="303" t="n"/>
      <c r="H37" s="385" t="n"/>
      <c r="I37" s="303" t="n"/>
      <c r="J37" s="387" t="n"/>
      <c r="K37" s="387" t="n"/>
    </row>
    <row r="38" ht="15" customHeight="1">
      <c r="A38" s="229" t="n"/>
      <c r="B38" s="303" t="n"/>
      <c r="C38" s="268" t="inlineStr">
        <is>
          <t>Total com coleta e entrega:</t>
        </is>
      </c>
      <c r="D38" s="365" t="n"/>
      <c r="E38" s="366">
        <f>E29+K10+K11</f>
        <v/>
      </c>
      <c r="F38" s="367" t="n"/>
      <c r="G38" s="368" t="n"/>
      <c r="H38" s="388" t="n"/>
      <c r="I38" s="303" t="n"/>
      <c r="M38" s="41" t="n"/>
      <c r="N38" s="4" t="n"/>
    </row>
    <row r="39" ht="15.75" customHeight="1" thickBot="1">
      <c r="A39" s="303" t="n"/>
      <c r="B39" s="303" t="n"/>
      <c r="C39" s="369" t="n"/>
      <c r="D39" s="370" t="n"/>
      <c r="E39" s="371" t="n"/>
      <c r="F39" s="372" t="n"/>
      <c r="G39" s="373" t="n"/>
      <c r="H39" s="303" t="n"/>
      <c r="I39" s="303" t="n"/>
      <c r="M39" s="41" t="n"/>
      <c r="N39" s="4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M40" s="41" t="n"/>
      <c r="N40" s="4" t="n"/>
    </row>
    <row r="41" ht="13.8" customHeight="1">
      <c r="A41" s="225" t="inlineStr">
        <is>
          <t>Formas de pagamento:</t>
        </is>
      </c>
      <c r="B41" s="304" t="n"/>
      <c r="C41" s="304" t="n"/>
      <c r="D41" s="304" t="n"/>
      <c r="E41" s="304" t="n"/>
      <c r="F41" s="304" t="n"/>
      <c r="G41" s="304" t="n"/>
      <c r="H41" s="304" t="n"/>
      <c r="I41" s="304" t="n"/>
      <c r="L41" s="28" t="n"/>
      <c r="M41" s="348" t="n"/>
      <c r="N41" s="348" t="n"/>
    </row>
    <row r="42" ht="13.8" customHeight="1">
      <c r="A42" s="225" t="inlineStr">
        <is>
          <t>Transferencia, Pix ou Deposito em conta 50% na contratação e 50% no destino para liberação.</t>
        </is>
      </c>
      <c r="B42" s="304" t="n"/>
      <c r="C42" s="304" t="n"/>
      <c r="D42" s="304" t="n"/>
      <c r="E42" s="304" t="n"/>
      <c r="F42" s="304" t="n"/>
      <c r="G42" s="304" t="n"/>
      <c r="H42" s="304" t="n"/>
      <c r="I42" s="304" t="n"/>
      <c r="K42" s="28" t="n"/>
      <c r="L42" s="331" t="n"/>
      <c r="M42" s="30" t="n"/>
    </row>
    <row r="43" ht="15.75" customHeight="1">
      <c r="A43" s="225" t="inlineStr">
        <is>
          <t>Cartão de credito em até 12X (com acréscimo) via link de pagamento online.</t>
        </is>
      </c>
      <c r="B43" s="304" t="n"/>
      <c r="C43" s="304" t="n"/>
      <c r="D43" s="304" t="n"/>
      <c r="E43" s="304" t="n"/>
      <c r="F43" s="304" t="n"/>
      <c r="G43" s="304" t="n"/>
      <c r="H43" s="304" t="n"/>
      <c r="I43" s="304" t="n"/>
      <c r="K43" s="28" t="n"/>
      <c r="L43" s="331" t="n"/>
      <c r="M43" s="331" t="n"/>
    </row>
    <row r="44" ht="4.5" customHeight="1">
      <c r="K44" s="28" t="n"/>
      <c r="L44" s="348" t="n"/>
      <c r="M44" s="348" t="n"/>
    </row>
    <row r="45" ht="15" customHeight="1"/>
    <row r="46" ht="13.5" customHeight="1">
      <c r="A46" s="1" t="inlineStr">
        <is>
          <t>5 - Requisitos para realização do Transporte:</t>
        </is>
      </c>
    </row>
    <row r="47" customFormat="1" s="4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46" t="inlineStr">
        <is>
          <t xml:space="preserve"> - Os valores acima são válidos somente para veículos em perfeito estado de funcionamento e conservação;</t>
        </is>
      </c>
    </row>
    <row r="49">
      <c r="A49" s="46" t="inlineStr">
        <is>
          <t xml:space="preserve"> - Para veículos modificados, sinistrados e sem funcionamento serão cobrados valores adicionais;</t>
        </is>
      </c>
    </row>
    <row r="50">
      <c r="A50" s="46" t="inlineStr">
        <is>
          <t xml:space="preserve"> - A OBS Transportes não se responsabiliza por pertences pessoais transportados junto ao veículo;</t>
        </is>
      </c>
    </row>
    <row r="52">
      <c r="A52" s="226" t="inlineStr">
        <is>
          <t>* Todos os veículos transportados pela OBS Transportes são assegurados pela ALLIANZ SEGUROS*</t>
        </is>
      </c>
      <c r="B52" s="304" t="n"/>
      <c r="C52" s="304" t="n"/>
      <c r="D52" s="304" t="n"/>
      <c r="E52" s="304" t="n"/>
      <c r="F52" s="304" t="n"/>
      <c r="G52" s="304" t="n"/>
      <c r="H52" s="304" t="n"/>
      <c r="I52" s="304" t="n"/>
    </row>
    <row r="53">
      <c r="H53" s="1" t="inlineStr">
        <is>
          <t> </t>
        </is>
      </c>
    </row>
    <row r="54">
      <c r="A54" s="227" t="inlineStr">
        <is>
          <t>"Caso possua orçamento menor nos envie para analise e possivel desconto"</t>
        </is>
      </c>
      <c r="B54" s="304" t="n"/>
      <c r="C54" s="304" t="n"/>
      <c r="D54" s="304" t="n"/>
      <c r="E54" s="304" t="n"/>
      <c r="F54" s="304" t="n"/>
      <c r="G54" s="304" t="n"/>
      <c r="H54" s="304" t="n"/>
      <c r="I54" s="304" t="n"/>
    </row>
    <row r="56">
      <c r="A56" s="28" t="inlineStr">
        <is>
          <t>Atenciosamente</t>
        </is>
      </c>
      <c r="B56" s="28" t="n"/>
      <c r="C56" s="28" t="n"/>
      <c r="D56" s="28" t="n"/>
    </row>
    <row r="57" ht="12.75" customHeight="1">
      <c r="A57" s="47" t="inlineStr">
        <is>
          <t>EQUIPE OBS TRANSPORTES</t>
        </is>
      </c>
      <c r="B57" s="47" t="n"/>
      <c r="C57" s="47" t="n"/>
      <c r="D57" s="28" t="n"/>
    </row>
    <row r="58">
      <c r="A58" s="28" t="inlineStr">
        <is>
          <t>Fale Conosco: (11) 4352-4103 / (11) 4352-1524</t>
        </is>
      </c>
      <c r="B58" s="28" t="n"/>
      <c r="C58" s="28" t="n"/>
      <c r="D58" s="28" t="n"/>
    </row>
    <row r="59">
      <c r="A59" s="48" t="inlineStr">
        <is>
          <t>E-mail: atendimento@obstransportes.com.br</t>
        </is>
      </c>
      <c r="B59" s="49" t="n"/>
      <c r="C59" s="49" t="n"/>
      <c r="D59" s="28" t="n"/>
    </row>
    <row r="60">
      <c r="A60" s="28" t="inlineStr">
        <is>
          <t>End.: Av Padre Anchieta, 176 - sala 13 - Bairro Jordanópolis - São Bernardo do Campo- SP</t>
        </is>
      </c>
      <c r="B60" s="28" t="n"/>
      <c r="C60" s="28" t="n"/>
      <c r="D60" s="28" t="n"/>
    </row>
    <row r="61">
      <c r="B61" s="28" t="n"/>
      <c r="C61" s="28" t="n"/>
      <c r="F61" s="228" t="n"/>
      <c r="G61" s="304" t="n"/>
      <c r="H61" s="304" t="n"/>
      <c r="I61" s="304" t="n"/>
    </row>
    <row r="63">
      <c r="A63" s="28" t="n"/>
      <c r="B63" s="28" t="n"/>
      <c r="C63" s="28" t="n"/>
      <c r="D63" s="28" t="n"/>
    </row>
    <row r="64">
      <c r="A64" s="47" t="n"/>
      <c r="B64" s="47" t="n"/>
      <c r="C64" s="47" t="n"/>
      <c r="D64" s="28" t="n"/>
    </row>
    <row r="65">
      <c r="A65" s="28" t="n"/>
      <c r="B65" s="28" t="n"/>
      <c r="C65" s="28" t="n"/>
      <c r="D65" s="28" t="n"/>
    </row>
    <row r="66">
      <c r="A66" s="28" t="n"/>
      <c r="B66" s="28" t="n"/>
      <c r="C66" s="28" t="n"/>
      <c r="D66" s="28" t="n"/>
    </row>
    <row r="67">
      <c r="A67" s="48" t="n"/>
      <c r="B67" s="49" t="n"/>
      <c r="C67" s="49" t="n"/>
      <c r="D67" s="28" t="n"/>
    </row>
    <row r="68">
      <c r="A68" s="28" t="n"/>
      <c r="B68" s="28" t="n"/>
      <c r="C68" s="28" t="n"/>
      <c r="D68" s="28" t="n"/>
    </row>
  </sheetData>
  <mergeCells count="58">
    <mergeCell ref="H17:I18"/>
    <mergeCell ref="H35:I35"/>
    <mergeCell ref="E28:G28"/>
    <mergeCell ref="Q1:AR1"/>
    <mergeCell ref="K25:L25"/>
    <mergeCell ref="A41:I41"/>
    <mergeCell ref="F16:G16"/>
    <mergeCell ref="L3:L4"/>
    <mergeCell ref="F61:I61"/>
    <mergeCell ref="E34:G34"/>
    <mergeCell ref="B17:E18"/>
    <mergeCell ref="A21:I21"/>
    <mergeCell ref="B34:D34"/>
    <mergeCell ref="H34:I34"/>
    <mergeCell ref="A33:I33"/>
    <mergeCell ref="E36:G36"/>
    <mergeCell ref="J6:K6"/>
    <mergeCell ref="E27:G27"/>
    <mergeCell ref="A32:I32"/>
    <mergeCell ref="A42:I42"/>
    <mergeCell ref="M3:M4"/>
    <mergeCell ref="B16:E16"/>
    <mergeCell ref="E26:G26"/>
    <mergeCell ref="H36:I36"/>
    <mergeCell ref="A38:B39"/>
    <mergeCell ref="K22:L22"/>
    <mergeCell ref="B3:E5"/>
    <mergeCell ref="C9:G9"/>
    <mergeCell ref="A20:I20"/>
    <mergeCell ref="E29:G30"/>
    <mergeCell ref="C38:D39"/>
    <mergeCell ref="E23:G24"/>
    <mergeCell ref="A52:I52"/>
    <mergeCell ref="A43:I43"/>
    <mergeCell ref="B36:D36"/>
    <mergeCell ref="E22:G22"/>
    <mergeCell ref="H16:I16"/>
    <mergeCell ref="A17:A18"/>
    <mergeCell ref="B23:D24"/>
    <mergeCell ref="B35:D35"/>
    <mergeCell ref="H23:I24"/>
    <mergeCell ref="A23:A24"/>
    <mergeCell ref="E38:G39"/>
    <mergeCell ref="H37:I37"/>
    <mergeCell ref="K23:L23"/>
    <mergeCell ref="H22:I22"/>
    <mergeCell ref="H38:I39"/>
    <mergeCell ref="F17:G18"/>
    <mergeCell ref="L13:M14"/>
    <mergeCell ref="F37:G37"/>
    <mergeCell ref="A11:I11"/>
    <mergeCell ref="C29:D30"/>
    <mergeCell ref="K3:K4"/>
    <mergeCell ref="B22:D22"/>
    <mergeCell ref="C37:D37"/>
    <mergeCell ref="E35:G35"/>
    <mergeCell ref="A54:I54"/>
    <mergeCell ref="K1:M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1"/>
  <colBreaks count="2" manualBreakCount="2">
    <brk id="9" min="0" max="1048575" man="1"/>
    <brk id="1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 Gustavo</dc:creator>
  <dcterms:created xsi:type="dcterms:W3CDTF">2015-06-05T18:19:34Z</dcterms:created>
  <dcterms:modified xsi:type="dcterms:W3CDTF">2026-07-10T14:32:06Z</dcterms:modified>
  <cp:lastModifiedBy>Luiz Gustavo OBS Transportes</cp:lastModifiedBy>
  <cp:lastPrinted>2026-07-09T20:59:09Z</cp:lastPrinted>
</cp:coreProperties>
</file>